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ésentation" sheetId="1" r:id="rId1"/>
    <sheet name="Devis" sheetId="2" r:id="rId2"/>
    <sheet name="1.1 Centrale et logiciel" sheetId="3" r:id="rId3"/>
    <sheet name="1.2 Lecteurs et câblage" sheetId="4" r:id="rId4"/>
    <sheet name="1 Contrôle d’accès" sheetId="5" r:id="rId5"/>
    <sheet name="2.1 Essais sur site" sheetId="6" r:id="rId6"/>
    <sheet name="Hors lot" sheetId="7" r:id="rId7"/>
    <sheet name="Tâches" sheetId="8" r:id="rId8"/>
    <sheet name="Paramètres" sheetId="9" r:id="rId9"/>
  </sheets>
  <definedNames>
    <definedName name="_xlnm.Print_Area" localSheetId="0">Présentation!$A$1:$D$25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Format et version, lus à l’import (annexe B) : ne pas modifier.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R1" authorId="0">
      <text>
        <r>
          <rPr>
            <sz val="8"/>
            <color indexed="81"/>
            <rFont val="Tahoma"/>
            <family val="2"/>
          </rPr>
          <t>Écrit par l’export : le montant de la ligne inflation comprise, que Waterfall calcule à l’année de consommation de la tâche. Vide pour une ligne ajoutée dans Excel.</t>
        </r>
      </text>
    </comment>
    <comment ref="S1" authorId="0">
      <text>
        <r>
          <rPr>
            <sz val="8"/>
            <color indexed="81"/>
            <rFont val="Tahoma"/>
            <family val="2"/>
          </rPr>
          <t>Identifiant de lignée, écrit par l’export. Vide : la ligne est nouvelle.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R1" authorId="0">
      <text>
        <r>
          <rPr>
            <sz val="8"/>
            <color indexed="81"/>
            <rFont val="Tahoma"/>
            <family val="2"/>
          </rPr>
          <t>Écrit par l’export : le montant de la ligne inflation comprise, que Waterfall calcule à l’année de consommation de la tâche. Vide pour une ligne ajoutée dans Excel.</t>
        </r>
      </text>
    </comment>
    <comment ref="S1" authorId="0">
      <text>
        <r>
          <rPr>
            <sz val="8"/>
            <color indexed="81"/>
            <rFont val="Tahoma"/>
            <family val="2"/>
          </rPr>
          <t>Identifiant de lignée, écrit par l’export. Vide : la ligne est nouvelle.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R1" authorId="0">
      <text>
        <r>
          <rPr>
            <sz val="8"/>
            <color indexed="81"/>
            <rFont val="Tahoma"/>
            <family val="2"/>
          </rPr>
          <t>Écrit par l’export : le montant de la ligne inflation comprise, que Waterfall calcule à l’année de consommation de la tâche. Vide pour une ligne ajoutée dans Excel.</t>
        </r>
      </text>
    </comment>
    <comment ref="S1" authorId="0">
      <text>
        <r>
          <rPr>
            <sz val="8"/>
            <color indexed="81"/>
            <rFont val="Tahoma"/>
            <family val="2"/>
          </rPr>
          <t>Identifiant de lignée, écrit par l’export. Vide : la ligne est nouvelle.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R1" authorId="0">
      <text>
        <r>
          <rPr>
            <sz val="8"/>
            <color indexed="81"/>
            <rFont val="Tahoma"/>
            <family val="2"/>
          </rPr>
          <t>Écrit par l’export : le montant de la ligne inflation comprise, que Waterfall calcule à l’année de consommation de la tâche. Vide pour une ligne ajoutée dans Excel.</t>
        </r>
      </text>
    </comment>
    <comment ref="S1" authorId="0">
      <text>
        <r>
          <rPr>
            <sz val="8"/>
            <color indexed="81"/>
            <rFont val="Tahoma"/>
            <family val="2"/>
          </rPr>
          <t>Identifiant de lignée, écrit par l’export. Vide : la ligne est nouvelle.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R1" authorId="0">
      <text>
        <r>
          <rPr>
            <sz val="8"/>
            <color indexed="81"/>
            <rFont val="Tahoma"/>
            <family val="2"/>
          </rPr>
          <t>Écrit par l’export : le montant de la ligne inflation comprise, que Waterfall calcule à l’année de consommation de la tâche. Vide pour une ligne ajoutée dans Excel.</t>
        </r>
      </text>
    </comment>
    <comment ref="S1" authorId="0">
      <text>
        <r>
          <rPr>
            <sz val="8"/>
            <color indexed="81"/>
            <rFont val="Tahoma"/>
            <family val="2"/>
          </rPr>
          <t>Identifiant de lignée, écrit par l’export. Vide : la ligne est nouvelle.</t>
        </r>
      </text>
    </comment>
  </commentList>
</comments>
</file>

<file path=xl/sharedStrings.xml><?xml version="1.0" encoding="utf-8"?>
<sst xmlns="http://schemas.openxmlformats.org/spreadsheetml/2006/main" count="426" uniqueCount="207">
  <si>
    <t>Référentiel de la révision : écrit par l’export, ignoré à l’import.</t>
  </si>
  <si>
    <t>Taux horaires de l’année de référence 2026 retenus par la révision. Les modifier ici ne change aucun taux dans Waterfall.</t>
  </si>
  <si>
    <t>Entrée</t>
  </si>
  <si>
    <t>Genre</t>
  </si>
  <si>
    <t>Code</t>
  </si>
  <si>
    <t>Libellé</t>
  </si>
  <si>
    <t>Service</t>
  </si>
  <si>
    <t>Nature</t>
  </si>
  <si>
    <t>Type de nature</t>
  </si>
  <si>
    <t>Code comptable</t>
  </si>
  <si>
    <t>Taux horaire</t>
  </si>
  <si>
    <t>Responsable d’affaire A1 (RA-A1)</t>
  </si>
  <si>
    <t>Rôle</t>
  </si>
  <si>
    <t>RA-A1</t>
  </si>
  <si>
    <t>Responsable d’affaire A1</t>
  </si>
  <si>
    <t>Affaires › Activité 1</t>
  </si>
  <si>
    <t>Main-d’œuvre</t>
  </si>
  <si>
    <t>I810</t>
  </si>
  <si>
    <t>Ingénieur qualité A1 (IQ-A1)</t>
  </si>
  <si>
    <t>IQ-A1</t>
  </si>
  <si>
    <t>Ingénieur qualité A1</t>
  </si>
  <si>
    <t>I1M2</t>
  </si>
  <si>
    <t>Architecte logiciel (ARCH-LOG)</t>
  </si>
  <si>
    <t>ARCH-LOG</t>
  </si>
  <si>
    <t>Architecte logiciel</t>
  </si>
  <si>
    <t>Ingénierie › Logiciel</t>
  </si>
  <si>
    <t>I329</t>
  </si>
  <si>
    <t>Développeur (DEV)</t>
  </si>
  <si>
    <t>DEV</t>
  </si>
  <si>
    <t>Développeur</t>
  </si>
  <si>
    <t>Architecte électronique (ARCH-ELEC)</t>
  </si>
  <si>
    <t>ARCH-ELEC</t>
  </si>
  <si>
    <t>Architecte électronique</t>
  </si>
  <si>
    <t>Ingénierie › Électronique</t>
  </si>
  <si>
    <t>Ingénieur carte (ING-CARTE)</t>
  </si>
  <si>
    <t>ING-CARTE</t>
  </si>
  <si>
    <t>Ingénieur carte</t>
  </si>
  <si>
    <t>Anti-intrusion (fo-AINT)</t>
  </si>
  <si>
    <t>Catégorie</t>
  </si>
  <si>
    <t>fo-AINT</t>
  </si>
  <si>
    <t>Anti-intrusion</t>
  </si>
  <si>
    <t>Fournitures</t>
  </si>
  <si>
    <t>Hors main-d’œuvre</t>
  </si>
  <si>
    <t>Appareillage (fo-APPA)</t>
  </si>
  <si>
    <t>fo-APPA</t>
  </si>
  <si>
    <t>Appareillage</t>
  </si>
  <si>
    <t>Pose sur site (st-POSE)</t>
  </si>
  <si>
    <t>st-POSE</t>
  </si>
  <si>
    <t>Pose sur site</t>
  </si>
  <si>
    <t>Sous-traitance</t>
  </si>
  <si>
    <t>Provision pour risques (PRV)</t>
  </si>
  <si>
    <t>PRV</t>
  </si>
  <si>
    <t>Provision pour risques</t>
  </si>
  <si>
    <t>Provisions pour risques</t>
  </si>
  <si>
    <t>Provision</t>
  </si>
  <si>
    <t>SP-MAT</t>
  </si>
  <si>
    <t>Matériel</t>
  </si>
  <si>
    <t>SP-PRE</t>
  </si>
  <si>
    <t>Prestations</t>
  </si>
  <si>
    <t>Tâches de la structure : la liste de chaque onglet, et l’identifiant que l’import retrouve.</t>
  </si>
  <si>
    <t>ID tâche</t>
  </si>
  <si>
    <t>N°</t>
  </si>
  <si>
    <t>Onglet</t>
  </si>
  <si>
    <t>Début</t>
  </si>
  <si>
    <t>Fin</t>
  </si>
  <si>
    <t>Description</t>
  </si>
  <si>
    <t>1.1 Centrale et logiciel</t>
  </si>
  <si>
    <t>t-0007</t>
  </si>
  <si>
    <t>1.1</t>
  </si>
  <si>
    <t>Centrale et logiciel</t>
  </si>
  <si>
    <t>2026-11-02</t>
  </si>
  <si>
    <t>2027-03-26</t>
  </si>
  <si>
    <t>1.1.1 Management</t>
  </si>
  <si>
    <t>t-0011</t>
  </si>
  <si>
    <t>1.1.1</t>
  </si>
  <si>
    <t>Management</t>
  </si>
  <si>
    <t>Pilotage, réunions d’avancement et compte rendu au client</t>
  </si>
  <si>
    <t>1.1.2 Développement du logiciel</t>
  </si>
  <si>
    <t>t-0012</t>
  </si>
  <si>
    <t>1.1.2</t>
  </si>
  <si>
    <t>Développement du logiciel</t>
  </si>
  <si>
    <t>2026-11-09</t>
  </si>
  <si>
    <t>2027-02-26</t>
  </si>
  <si>
    <t>Logiciel de la centrale : gestion des badges et des droits d’accès</t>
  </si>
  <si>
    <t>1.1.3 Carte d’interface</t>
  </si>
  <si>
    <t>t-0013</t>
  </si>
  <si>
    <t>1.1.3</t>
  </si>
  <si>
    <t>Carte d’interface</t>
  </si>
  <si>
    <t>2027-01-29</t>
  </si>
  <si>
    <t>Carte d’interface entre la centrale et les lecteurs</t>
  </si>
  <si>
    <t>1.2 Lecteurs et câblage</t>
  </si>
  <si>
    <t>t-0008</t>
  </si>
  <si>
    <t>1.2</t>
  </si>
  <si>
    <t>Lecteurs et câblage</t>
  </si>
  <si>
    <t>2027-01-04</t>
  </si>
  <si>
    <t>2027-04-30</t>
  </si>
  <si>
    <t>1.2.1 Approvisionnement des lecteurs</t>
  </si>
  <si>
    <t>t-0021</t>
  </si>
  <si>
    <t>1.2.1</t>
  </si>
  <si>
    <t>Approvisionnement des lecteurs</t>
  </si>
  <si>
    <t>Achat et réception des lecteurs de badges</t>
  </si>
  <si>
    <t>1.2.2 Câblage</t>
  </si>
  <si>
    <t>t-0022</t>
  </si>
  <si>
    <t>1.2.2</t>
  </si>
  <si>
    <t>Câblage</t>
  </si>
  <si>
    <t>2027-03-01</t>
  </si>
  <si>
    <t>Tirage des câbles et raccordement des lecteurs</t>
  </si>
  <si>
    <t>1 Contrôle d’accès</t>
  </si>
  <si>
    <t>t-0003</t>
  </si>
  <si>
    <t>1</t>
  </si>
  <si>
    <t>Contrôle d’accès</t>
  </si>
  <si>
    <t>1.3 Revue de conception</t>
  </si>
  <si>
    <t>t-0009</t>
  </si>
  <si>
    <t>1.3</t>
  </si>
  <si>
    <t>Revue de conception</t>
  </si>
  <si>
    <t>2026-12-14</t>
  </si>
  <si>
    <t>2026-12-18</t>
  </si>
  <si>
    <t>Revue de conception préliminaire avec le client</t>
  </si>
  <si>
    <t>2 Mise en service</t>
  </si>
  <si>
    <t>t-0004</t>
  </si>
  <si>
    <t>2</t>
  </si>
  <si>
    <t>Mise en service</t>
  </si>
  <si>
    <t>2.1 Essais sur site</t>
  </si>
  <si>
    <t>2027-05-03</t>
  </si>
  <si>
    <t>2027-06-25</t>
  </si>
  <si>
    <t>t-0010</t>
  </si>
  <si>
    <t>2.1</t>
  </si>
  <si>
    <t>Essais sur site</t>
  </si>
  <si>
    <t>2.1.1 Essais</t>
  </si>
  <si>
    <t>t-0031</t>
  </si>
  <si>
    <t>2.1.1</t>
  </si>
  <si>
    <t>Essais</t>
  </si>
  <si>
    <t>2027-06-11</t>
  </si>
  <si>
    <t>Essais d’intégration et recette sur site</t>
  </si>
  <si>
    <t>3 Gestion de projet</t>
  </si>
  <si>
    <t>t-0005</t>
  </si>
  <si>
    <t>3</t>
  </si>
  <si>
    <t>Gestion de projet</t>
  </si>
  <si>
    <t>Hors lot</t>
  </si>
  <si>
    <t>Gestion de projet transverse</t>
  </si>
  <si>
    <t>Total</t>
  </si>
  <si>
    <t>Tâche</t>
  </si>
  <si>
    <t>Description de la tâche</t>
  </si>
  <si>
    <t>Rôle ou catégorie</t>
  </si>
  <si>
    <t>Désignation</t>
  </si>
  <si>
    <t>Quantité</t>
  </si>
  <si>
    <t>Heures</t>
  </si>
  <si>
    <t>Débours unitaire</t>
  </si>
  <si>
    <t>Délai de paiement (j)</t>
  </si>
  <si>
    <t>Sous-projet</t>
  </si>
  <si>
    <t>Heures totales</t>
  </si>
  <si>
    <t>Débours</t>
  </si>
  <si>
    <t>Montant</t>
  </si>
  <si>
    <t>Montant Waterfall</t>
  </si>
  <si>
    <t>ID ligne</t>
  </si>
  <si>
    <t>Type</t>
  </si>
  <si>
    <t>l-0101</t>
  </si>
  <si>
    <t>l-0102</t>
  </si>
  <si>
    <t>l-0103</t>
  </si>
  <si>
    <t>l-0104</t>
  </si>
  <si>
    <t>Détecteurs</t>
  </si>
  <si>
    <t>l-0105</t>
  </si>
  <si>
    <t>Lecteurs de badges</t>
  </si>
  <si>
    <t>l-0201</t>
  </si>
  <si>
    <t>Provision — Retard de livraison des lecteurs</t>
  </si>
  <si>
    <t>l-0202</t>
  </si>
  <si>
    <t>l-0203</t>
  </si>
  <si>
    <t>l-0301</t>
  </si>
  <si>
    <t>l-0401</t>
  </si>
  <si>
    <t>l-0402</t>
  </si>
  <si>
    <t>=1+1 reste une désignation</t>
  </si>
  <si>
    <t>l-0501</t>
  </si>
  <si>
    <t>Devis — AFF-2026-014 Contrôle d’accès du site de Lyon</t>
  </si>
  <si>
    <t>Aux taux de l’année de référence, avant inflation. « Inclus » n’est pas lu à l’import.</t>
  </si>
  <si>
    <t>Lot ou poste</t>
  </si>
  <si>
    <t>Inclus</t>
  </si>
  <si>
    <t>Niveau</t>
  </si>
  <si>
    <t>Heures I810</t>
  </si>
  <si>
    <t>Heures I329</t>
  </si>
  <si>
    <t>Heures I1M2</t>
  </si>
  <si>
    <t>lot</t>
  </si>
  <si>
    <t>Oui</t>
  </si>
  <si>
    <t>onglet</t>
  </si>
  <si>
    <t>Contrôle d’accès, hors postes</t>
  </si>
  <si>
    <t/>
  </si>
  <si>
    <t>Format</t>
  </si>
  <si>
    <t>Devis</t>
  </si>
  <si>
    <t>Version</t>
  </si>
  <si>
    <t>AFF-2026-014 — Contrôle d’accès du site de Lyon</t>
  </si>
  <si>
    <t>Entreprise</t>
  </si>
  <si>
    <t>Exemple Industrie</t>
  </si>
  <si>
    <t>Client</t>
  </si>
  <si>
    <t>Client Exemple</t>
  </si>
  <si>
    <t>Révision</t>
  </si>
  <si>
    <t>Chiffrage v2 (en cours)</t>
  </si>
  <si>
    <t>Structure</t>
  </si>
  <si>
    <t>Structure principale</t>
  </si>
  <si>
    <t>Année de référence</t>
  </si>
  <si>
    <t>Devise</t>
  </si>
  <si>
    <t>EUR</t>
  </si>
  <si>
    <t>Exporté le</t>
  </si>
  <si>
    <t>2026-10-22 14:05</t>
  </si>
  <si>
    <t>Ventilation par nature de coût, aux taux de l’année de référence, avant inflation</t>
  </si>
  <si>
    <t>Part</t>
  </si>
  <si>
    <t>Montant Waterfall, inflation comprise</t>
  </si>
  <si>
    <t>Celui des lignes exportées : le montant inflation comprise d’une ligne ajoutée ou modifiée dans Excel n’est connu qu’après l’import.</t>
  </si>
  <si>
    <t>© 2026 Exemple Industrie — Généré par Waterfall le 2026-10-22 14:05 — logiciel libre sous licence AGPL-3.0 — www.waterfall-project.pro</t>
  </si>
</sst>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0.0 %"/>
    <numFmt numFmtId="166" formatCode="#,##0.0"/>
    <numFmt numFmtId="167" formatCode="@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8"/>
      <color rgb="FF666666"/>
      <name val="Calibri"/>
      <family val="2"/>
      <scheme val="minor"/>
    </font>
    <font>
      <sz val="11"/>
      <color rgb="FF555555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vertical="top" wrapText="1"/>
    </xf>
    <xf numFmtId="0" fontId="2" fillId="2" borderId="0" xfId="0" applyFont="1" applyFill="1"/>
    <xf numFmtId="164" fontId="2" fillId="2" borderId="0" xfId="0" applyNumberFormat="1" applyFont="1" applyFill="1"/>
    <xf numFmtId="166" fontId="2" fillId="2" borderId="0" xfId="0" applyNumberFormat="1" applyFont="1" applyFill="1"/>
    <xf numFmtId="166" fontId="0" fillId="0" borderId="0" xfId="0" applyNumberFormat="1"/>
    <xf numFmtId="166" fontId="2" fillId="0" borderId="1" xfId="0" applyNumberFormat="1" applyFont="1" applyBorder="1"/>
    <xf numFmtId="167" fontId="0" fillId="0" borderId="0" xfId="0" applyNumberFormat="1"/>
    <xf numFmtId="0" fontId="5" fillId="3" borderId="0" xfId="0" applyFont="1" applyFill="1"/>
    <xf numFmtId="166" fontId="5" fillId="3" borderId="0" xfId="0" applyNumberFormat="1" applyFont="1" applyFill="1"/>
    <xf numFmtId="164" fontId="5" fillId="3" borderId="0" xfId="0" applyNumberFormat="1" applyFont="1" applyFill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4">
    <dxf>
      <numFmt numFmtId="167" formatCode="@"/>
    </dxf>
    <dxf>
      <font>
        <color rgb="FF555555"/>
      </font>
      <fill>
        <patternFill>
          <bgColor rgb="FFEEEEEE"/>
        </patternFill>
      </fill>
    </dxf>
    <dxf>
      <font>
        <color rgb="FF555555"/>
      </font>
      <numFmt numFmtId="166" formatCode="#,##0.0"/>
      <fill>
        <patternFill>
          <bgColor rgb="FFEEEEEE"/>
        </patternFill>
      </fill>
    </dxf>
    <dxf>
      <font>
        <color rgb="FF555555"/>
      </font>
      <numFmt numFmtId="164" formatCode="#,##0.00 &quot;€&quot;"/>
      <fill>
        <patternFill>
          <bgColor rgb="FFEEEE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0</xdr:row>
      <xdr:rowOff>38100</xdr:rowOff>
    </xdr:from>
    <xdr:to>
      <xdr:col>3</xdr:col>
      <xdr:colOff>2244090</xdr:colOff>
      <xdr:row>3</xdr:row>
      <xdr:rowOff>51435</xdr:rowOff>
    </xdr:to>
    <xdr:pic>
      <xdr:nvPicPr>
        <xdr:cNvPr id="2" name="Picture 1" descr="Waterfal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525" y="38100"/>
          <a:ext cx="2244090" cy="5848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Lignes_1_1" displayName="Lignes_1_1" ref="A1:T37" totalsRowCount="1">
  <autoFilter ref="A1:T36"/>
  <tableColumns count="20">
    <tableColumn id="1" name="Tâche" totalsRowLabel="Total" dataDxfId="0"/>
    <tableColumn id="2" name="Description de la tâche" dataDxfId="1">
      <calculatedColumnFormula>IF(Lignes_1_1[[#This Row],[Tâche]]="","",IFERROR(INDEX(Taches[[Description]],MATCH(Lignes_1_1[[#This Row],[Tâche]],Taches[[Entrée]],0)),""))</calculatedColumnFormula>
    </tableColumn>
    <tableColumn id="3" name="Rôle ou catégorie" dataDxfId="0"/>
    <tableColumn id="4" name="Désignation" dataDxfId="0"/>
    <tableColumn id="5" name="Quantité"/>
    <tableColumn id="6" name="Heures"/>
    <tableColumn id="7" name="Débours unitaire"/>
    <tableColumn id="8" name="Délai de paiement (j)"/>
    <tableColumn id="9" name="Sous-projet" dataDxfId="0"/>
    <tableColumn id="10" name="Nature" dataDxfId="1">
      <calculatedColumnFormula>IF(Lignes_1_1[[#This Row],[Rôle ou catégorie]]="","",IFERROR(INDEX(Referentiel[[Nature]],MATCH(Lignes_1_1[[#This Row],[Rôle ou catégorie]],Referentiel[[Entrée]],0)),"?"))</calculatedColumnFormula>
    </tableColumn>
    <tableColumn id="11" name="Code comptable" dataDxfId="1">
      <calculatedColumnFormula>IF(Lignes_1_1[[#This Row],[Rôle ou catégorie]]="","",IFERROR(INDEX(Referentiel[[Code comptable]],MATCH(Lignes_1_1[[#This Row],[Rôle ou catégorie]],Referentiel[[Entrée]],0)),"?"))</calculatedColumnFormula>
    </tableColumn>
    <tableColumn id="12" name="Service" dataDxfId="1">
      <calculatedColumnFormula>IF(Lignes_1_1[[#This Row],[Rôle ou catégorie]]="","",IFERROR(INDEX(Referentiel[[Service]],MATCH(Lignes_1_1[[#This Row],[Rôle ou catégorie]],Referentiel[[Entrée]],0)),"?")&amp;"")</calculatedColumnFormula>
    </tableColumn>
    <tableColumn id="13" name="Taux horaire" dataDxfId="1">
      <calculatedColumnFormula>IF(Lignes_1_1[[#This Row],[Rôle ou catégorie]]="","",IFERROR(INDEX(Referentiel[[Taux horaire]],MATCH(Lignes_1_1[[#This Row],[Rôle ou catégorie]],Referentiel[[Entrée]],0)),"?"))</calculatedColumnFormula>
    </tableColumn>
    <tableColumn id="14" name="Heures totales" totalsRowFunction="custom" dataDxfId="2">
      <calculatedColumnFormula>IF(Lignes_1_1[[#This Row],[Rôle ou catégorie]]="","",IF(Lignes_1_1[[#This Row],[Type]]="Main-d’œuvre",Lignes_1_1[[#This Row],[Quantité]]*Lignes_1_1[[#This Row],[Heures]],0))</calculatedColumnFormula>
      <totalsRowFormula>SUBTOTAL(109,Lignes_1_1[[Heures totales]])</totalsRowFormula>
    </tableColumn>
    <tableColumn id="15" name="Main-d’œuvre" totalsRowFunction="custom" dataDxfId="3">
      <calculatedColumnFormula>IF(Lignes_1_1[[#This Row],[Rôle ou catégorie]]="","",IF(Lignes_1_1[[#This Row],[Type]]="Main-d’œuvre",Lignes_1_1[[#This Row],[Quantité]]*Lignes_1_1[[#This Row],[Heures]]*Lignes_1_1[[#This Row],[Taux horaire]],0))</calculatedColumnFormula>
      <totalsRowFormula>SUBTOTAL(109,Lignes_1_1[[Main-d’œuvre]])</totalsRowFormula>
    </tableColumn>
    <tableColumn id="16" name="Débours" totalsRowFunction="custom" dataDxfId="3">
      <calculatedColumnFormula>IF(Lignes_1_1[[#This Row],[Rôle ou catégorie]]="","",IF(OR(Lignes_1_1[[#This Row],[Type]]="Hors main-d’œuvre",Lignes_1_1[[#This Row],[Type]]="Provision"),Lignes_1_1[[#This Row],[Quantité]]*Lignes_1_1[[#This Row],[Débours unitaire]],0))</calculatedColumnFormula>
      <totalsRowFormula>SUBTOTAL(109,Lignes_1_1[[Débours]])</totalsRowFormula>
    </tableColumn>
    <tableColumn id="17" name="Montant" totalsRowFunction="custom" dataDxfId="3">
      <calculatedColumnFormula>IF(Lignes_1_1[[#This Row],[Rôle ou catégorie]]="","",Lignes_1_1[[#This Row],[Main-d’œuvre]]+Lignes_1_1[[#This Row],[Débours]])</calculatedColumnFormula>
      <totalsRowFormula>SUBTOTAL(109,Lignes_1_1[[Montant]])</totalsRowFormula>
    </tableColumn>
    <tableColumn id="18" name="Montant Waterfall" totalsRowFunction="custom" dataDxfId="3">
      <totalsRowFormula>SUBTOTAL(109,Lignes_1_1[[Montant Waterfall]])</totalsRowFormula>
    </tableColumn>
    <tableColumn id="19" name="ID ligne"/>
    <tableColumn id="20" name="Type" dataDxfId="1">
      <calculatedColumnFormula>IF(Lignes_1_1[[#This Row],[Rôle ou catégorie]]="","",IFERROR(INDEX(Referentiel[[Type de nature]],MATCH(Lignes_1_1[[#This Row],[Rôle ou catégorie]],Referentiel[[Entrée]],0)),"?"))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Lignes_1_2" displayName="Lignes_1_2" ref="A1:T35" totalsRowCount="1">
  <autoFilter ref="A1:T34"/>
  <tableColumns count="20">
    <tableColumn id="1" name="Tâche" totalsRowLabel="Total" dataDxfId="0"/>
    <tableColumn id="2" name="Description de la tâche" dataDxfId="1">
      <calculatedColumnFormula>IF(Lignes_1_2[[#This Row],[Tâche]]="","",IFERROR(INDEX(Taches[[Description]],MATCH(Lignes_1_2[[#This Row],[Tâche]],Taches[[Entrée]],0)),""))</calculatedColumnFormula>
    </tableColumn>
    <tableColumn id="3" name="Rôle ou catégorie" dataDxfId="0"/>
    <tableColumn id="4" name="Désignation" dataDxfId="0"/>
    <tableColumn id="5" name="Quantité"/>
    <tableColumn id="6" name="Heures"/>
    <tableColumn id="7" name="Débours unitaire"/>
    <tableColumn id="8" name="Délai de paiement (j)"/>
    <tableColumn id="9" name="Sous-projet" dataDxfId="0"/>
    <tableColumn id="10" name="Nature" dataDxfId="1">
      <calculatedColumnFormula>IF(Lignes_1_2[[#This Row],[Rôle ou catégorie]]="","",IFERROR(INDEX(Referentiel[[Nature]],MATCH(Lignes_1_2[[#This Row],[Rôle ou catégorie]],Referentiel[[Entrée]],0)),"?"))</calculatedColumnFormula>
    </tableColumn>
    <tableColumn id="11" name="Code comptable" dataDxfId="1">
      <calculatedColumnFormula>IF(Lignes_1_2[[#This Row],[Rôle ou catégorie]]="","",IFERROR(INDEX(Referentiel[[Code comptable]],MATCH(Lignes_1_2[[#This Row],[Rôle ou catégorie]],Referentiel[[Entrée]],0)),"?"))</calculatedColumnFormula>
    </tableColumn>
    <tableColumn id="12" name="Service" dataDxfId="1">
      <calculatedColumnFormula>IF(Lignes_1_2[[#This Row],[Rôle ou catégorie]]="","",IFERROR(INDEX(Referentiel[[Service]],MATCH(Lignes_1_2[[#This Row],[Rôle ou catégorie]],Referentiel[[Entrée]],0)),"?")&amp;"")</calculatedColumnFormula>
    </tableColumn>
    <tableColumn id="13" name="Taux horaire" dataDxfId="1">
      <calculatedColumnFormula>IF(Lignes_1_2[[#This Row],[Rôle ou catégorie]]="","",IFERROR(INDEX(Referentiel[[Taux horaire]],MATCH(Lignes_1_2[[#This Row],[Rôle ou catégorie]],Referentiel[[Entrée]],0)),"?"))</calculatedColumnFormula>
    </tableColumn>
    <tableColumn id="14" name="Heures totales" totalsRowFunction="custom" dataDxfId="2">
      <calculatedColumnFormula>IF(Lignes_1_2[[#This Row],[Rôle ou catégorie]]="","",IF(Lignes_1_2[[#This Row],[Type]]="Main-d’œuvre",Lignes_1_2[[#This Row],[Quantité]]*Lignes_1_2[[#This Row],[Heures]],0))</calculatedColumnFormula>
      <totalsRowFormula>SUBTOTAL(109,Lignes_1_2[[Heures totales]])</totalsRowFormula>
    </tableColumn>
    <tableColumn id="15" name="Main-d’œuvre" totalsRowFunction="custom" dataDxfId="3">
      <calculatedColumnFormula>IF(Lignes_1_2[[#This Row],[Rôle ou catégorie]]="","",IF(Lignes_1_2[[#This Row],[Type]]="Main-d’œuvre",Lignes_1_2[[#This Row],[Quantité]]*Lignes_1_2[[#This Row],[Heures]]*Lignes_1_2[[#This Row],[Taux horaire]],0))</calculatedColumnFormula>
      <totalsRowFormula>SUBTOTAL(109,Lignes_1_2[[Main-d’œuvre]])</totalsRowFormula>
    </tableColumn>
    <tableColumn id="16" name="Débours" totalsRowFunction="custom" dataDxfId="3">
      <calculatedColumnFormula>IF(Lignes_1_2[[#This Row],[Rôle ou catégorie]]="","",IF(OR(Lignes_1_2[[#This Row],[Type]]="Hors main-d’œuvre",Lignes_1_2[[#This Row],[Type]]="Provision"),Lignes_1_2[[#This Row],[Quantité]]*Lignes_1_2[[#This Row],[Débours unitaire]],0))</calculatedColumnFormula>
      <totalsRowFormula>SUBTOTAL(109,Lignes_1_2[[Débours]])</totalsRowFormula>
    </tableColumn>
    <tableColumn id="17" name="Montant" totalsRowFunction="custom" dataDxfId="3">
      <calculatedColumnFormula>IF(Lignes_1_2[[#This Row],[Rôle ou catégorie]]="","",Lignes_1_2[[#This Row],[Main-d’œuvre]]+Lignes_1_2[[#This Row],[Débours]])</calculatedColumnFormula>
      <totalsRowFormula>SUBTOTAL(109,Lignes_1_2[[Montant]])</totalsRowFormula>
    </tableColumn>
    <tableColumn id="18" name="Montant Waterfall" totalsRowFunction="custom" dataDxfId="3">
      <totalsRowFormula>SUBTOTAL(109,Lignes_1_2[[Montant Waterfall]])</totalsRowFormula>
    </tableColumn>
    <tableColumn id="19" name="ID ligne"/>
    <tableColumn id="20" name="Type" dataDxfId="1">
      <calculatedColumnFormula>IF(Lignes_1_2[[#This Row],[Rôle ou catégorie]]="","",IFERROR(INDEX(Referentiel[[Type de nature]],MATCH(Lignes_1_2[[#This Row],[Rôle ou catégorie]],Referentiel[[Entrée]],0)),"?"))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Lignes_1" displayName="Lignes_1" ref="A1:T33" totalsRowCount="1">
  <autoFilter ref="A1:T32"/>
  <tableColumns count="20">
    <tableColumn id="1" name="Tâche" totalsRowLabel="Total" dataDxfId="0"/>
    <tableColumn id="2" name="Description de la tâche" dataDxfId="1">
      <calculatedColumnFormula>IF(Lignes_1[[#This Row],[Tâche]]="","",IFERROR(INDEX(Taches[[Description]],MATCH(Lignes_1[[#This Row],[Tâche]],Taches[[Entrée]],0)),""))</calculatedColumnFormula>
    </tableColumn>
    <tableColumn id="3" name="Rôle ou catégorie" dataDxfId="0"/>
    <tableColumn id="4" name="Désignation" dataDxfId="0"/>
    <tableColumn id="5" name="Quantité"/>
    <tableColumn id="6" name="Heures"/>
    <tableColumn id="7" name="Débours unitaire"/>
    <tableColumn id="8" name="Délai de paiement (j)"/>
    <tableColumn id="9" name="Sous-projet" dataDxfId="0"/>
    <tableColumn id="10" name="Nature" dataDxfId="1">
      <calculatedColumnFormula>IF(Lignes_1[[#This Row],[Rôle ou catégorie]]="","",IFERROR(INDEX(Referentiel[[Nature]],MATCH(Lignes_1[[#This Row],[Rôle ou catégorie]],Referentiel[[Entrée]],0)),"?"))</calculatedColumnFormula>
    </tableColumn>
    <tableColumn id="11" name="Code comptable" dataDxfId="1">
      <calculatedColumnFormula>IF(Lignes_1[[#This Row],[Rôle ou catégorie]]="","",IFERROR(INDEX(Referentiel[[Code comptable]],MATCH(Lignes_1[[#This Row],[Rôle ou catégorie]],Referentiel[[Entrée]],0)),"?"))</calculatedColumnFormula>
    </tableColumn>
    <tableColumn id="12" name="Service" dataDxfId="1">
      <calculatedColumnFormula>IF(Lignes_1[[#This Row],[Rôle ou catégorie]]="","",IFERROR(INDEX(Referentiel[[Service]],MATCH(Lignes_1[[#This Row],[Rôle ou catégorie]],Referentiel[[Entrée]],0)),"?")&amp;"")</calculatedColumnFormula>
    </tableColumn>
    <tableColumn id="13" name="Taux horaire" dataDxfId="1">
      <calculatedColumnFormula>IF(Lignes_1[[#This Row],[Rôle ou catégorie]]="","",IFERROR(INDEX(Referentiel[[Taux horaire]],MATCH(Lignes_1[[#This Row],[Rôle ou catégorie]],Referentiel[[Entrée]],0)),"?"))</calculatedColumnFormula>
    </tableColumn>
    <tableColumn id="14" name="Heures totales" totalsRowFunction="custom" dataDxfId="2">
      <calculatedColumnFormula>IF(Lignes_1[[#This Row],[Rôle ou catégorie]]="","",IF(Lignes_1[[#This Row],[Type]]="Main-d’œuvre",Lignes_1[[#This Row],[Quantité]]*Lignes_1[[#This Row],[Heures]],0))</calculatedColumnFormula>
      <totalsRowFormula>SUBTOTAL(109,Lignes_1[[Heures totales]])</totalsRowFormula>
    </tableColumn>
    <tableColumn id="15" name="Main-d’œuvre" totalsRowFunction="custom" dataDxfId="3">
      <calculatedColumnFormula>IF(Lignes_1[[#This Row],[Rôle ou catégorie]]="","",IF(Lignes_1[[#This Row],[Type]]="Main-d’œuvre",Lignes_1[[#This Row],[Quantité]]*Lignes_1[[#This Row],[Heures]]*Lignes_1[[#This Row],[Taux horaire]],0))</calculatedColumnFormula>
      <totalsRowFormula>SUBTOTAL(109,Lignes_1[[Main-d’œuvre]])</totalsRowFormula>
    </tableColumn>
    <tableColumn id="16" name="Débours" totalsRowFunction="custom" dataDxfId="3">
      <calculatedColumnFormula>IF(Lignes_1[[#This Row],[Rôle ou catégorie]]="","",IF(OR(Lignes_1[[#This Row],[Type]]="Hors main-d’œuvre",Lignes_1[[#This Row],[Type]]="Provision"),Lignes_1[[#This Row],[Quantité]]*Lignes_1[[#This Row],[Débours unitaire]],0))</calculatedColumnFormula>
      <totalsRowFormula>SUBTOTAL(109,Lignes_1[[Débours]])</totalsRowFormula>
    </tableColumn>
    <tableColumn id="17" name="Montant" totalsRowFunction="custom" dataDxfId="3">
      <calculatedColumnFormula>IF(Lignes_1[[#This Row],[Rôle ou catégorie]]="","",Lignes_1[[#This Row],[Main-d’œuvre]]+Lignes_1[[#This Row],[Débours]])</calculatedColumnFormula>
      <totalsRowFormula>SUBTOTAL(109,Lignes_1[[Montant]])</totalsRowFormula>
    </tableColumn>
    <tableColumn id="18" name="Montant Waterfall" totalsRowFunction="custom" dataDxfId="3">
      <totalsRowFormula>SUBTOTAL(109,Lignes_1[[Montant Waterfall]])</totalsRowFormula>
    </tableColumn>
    <tableColumn id="19" name="ID ligne"/>
    <tableColumn id="20" name="Type" dataDxfId="1">
      <calculatedColumnFormula>IF(Lignes_1[[#This Row],[Rôle ou catégorie]]="","",IFERROR(INDEX(Referentiel[[Type de nature]],MATCH(Lignes_1[[#This Row],[Rôle ou catégorie]],Referentiel[[Entrée]],0)),"?"))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Lignes_2_1" displayName="Lignes_2_1" ref="A1:T34" totalsRowCount="1">
  <autoFilter ref="A1:T33"/>
  <tableColumns count="20">
    <tableColumn id="1" name="Tâche" totalsRowLabel="Total" dataDxfId="0"/>
    <tableColumn id="2" name="Description de la tâche" dataDxfId="1">
      <calculatedColumnFormula>IF(Lignes_2_1[[#This Row],[Tâche]]="","",IFERROR(INDEX(Taches[[Description]],MATCH(Lignes_2_1[[#This Row],[Tâche]],Taches[[Entrée]],0)),""))</calculatedColumnFormula>
    </tableColumn>
    <tableColumn id="3" name="Rôle ou catégorie" dataDxfId="0"/>
    <tableColumn id="4" name="Désignation" dataDxfId="0"/>
    <tableColumn id="5" name="Quantité"/>
    <tableColumn id="6" name="Heures"/>
    <tableColumn id="7" name="Débours unitaire"/>
    <tableColumn id="8" name="Délai de paiement (j)"/>
    <tableColumn id="9" name="Sous-projet" dataDxfId="0"/>
    <tableColumn id="10" name="Nature" dataDxfId="1">
      <calculatedColumnFormula>IF(Lignes_2_1[[#This Row],[Rôle ou catégorie]]="","",IFERROR(INDEX(Referentiel[[Nature]],MATCH(Lignes_2_1[[#This Row],[Rôle ou catégorie]],Referentiel[[Entrée]],0)),"?"))</calculatedColumnFormula>
    </tableColumn>
    <tableColumn id="11" name="Code comptable" dataDxfId="1">
      <calculatedColumnFormula>IF(Lignes_2_1[[#This Row],[Rôle ou catégorie]]="","",IFERROR(INDEX(Referentiel[[Code comptable]],MATCH(Lignes_2_1[[#This Row],[Rôle ou catégorie]],Referentiel[[Entrée]],0)),"?"))</calculatedColumnFormula>
    </tableColumn>
    <tableColumn id="12" name="Service" dataDxfId="1">
      <calculatedColumnFormula>IF(Lignes_2_1[[#This Row],[Rôle ou catégorie]]="","",IFERROR(INDEX(Referentiel[[Service]],MATCH(Lignes_2_1[[#This Row],[Rôle ou catégorie]],Referentiel[[Entrée]],0)),"?")&amp;"")</calculatedColumnFormula>
    </tableColumn>
    <tableColumn id="13" name="Taux horaire" dataDxfId="1">
      <calculatedColumnFormula>IF(Lignes_2_1[[#This Row],[Rôle ou catégorie]]="","",IFERROR(INDEX(Referentiel[[Taux horaire]],MATCH(Lignes_2_1[[#This Row],[Rôle ou catégorie]],Referentiel[[Entrée]],0)),"?"))</calculatedColumnFormula>
    </tableColumn>
    <tableColumn id="14" name="Heures totales" totalsRowFunction="custom" dataDxfId="2">
      <calculatedColumnFormula>IF(Lignes_2_1[[#This Row],[Rôle ou catégorie]]="","",IF(Lignes_2_1[[#This Row],[Type]]="Main-d’œuvre",Lignes_2_1[[#This Row],[Quantité]]*Lignes_2_1[[#This Row],[Heures]],0))</calculatedColumnFormula>
      <totalsRowFormula>SUBTOTAL(109,Lignes_2_1[[Heures totales]])</totalsRowFormula>
    </tableColumn>
    <tableColumn id="15" name="Main-d’œuvre" totalsRowFunction="custom" dataDxfId="3">
      <calculatedColumnFormula>IF(Lignes_2_1[[#This Row],[Rôle ou catégorie]]="","",IF(Lignes_2_1[[#This Row],[Type]]="Main-d’œuvre",Lignes_2_1[[#This Row],[Quantité]]*Lignes_2_1[[#This Row],[Heures]]*Lignes_2_1[[#This Row],[Taux horaire]],0))</calculatedColumnFormula>
      <totalsRowFormula>SUBTOTAL(109,Lignes_2_1[[Main-d’œuvre]])</totalsRowFormula>
    </tableColumn>
    <tableColumn id="16" name="Débours" totalsRowFunction="custom" dataDxfId="3">
      <calculatedColumnFormula>IF(Lignes_2_1[[#This Row],[Rôle ou catégorie]]="","",IF(OR(Lignes_2_1[[#This Row],[Type]]="Hors main-d’œuvre",Lignes_2_1[[#This Row],[Type]]="Provision"),Lignes_2_1[[#This Row],[Quantité]]*Lignes_2_1[[#This Row],[Débours unitaire]],0))</calculatedColumnFormula>
      <totalsRowFormula>SUBTOTAL(109,Lignes_2_1[[Débours]])</totalsRowFormula>
    </tableColumn>
    <tableColumn id="17" name="Montant" totalsRowFunction="custom" dataDxfId="3">
      <calculatedColumnFormula>IF(Lignes_2_1[[#This Row],[Rôle ou catégorie]]="","",Lignes_2_1[[#This Row],[Main-d’œuvre]]+Lignes_2_1[[#This Row],[Débours]])</calculatedColumnFormula>
      <totalsRowFormula>SUBTOTAL(109,Lignes_2_1[[Montant]])</totalsRowFormula>
    </tableColumn>
    <tableColumn id="18" name="Montant Waterfall" totalsRowFunction="custom" dataDxfId="3">
      <totalsRowFormula>SUBTOTAL(109,Lignes_2_1[[Montant Waterfall]])</totalsRowFormula>
    </tableColumn>
    <tableColumn id="19" name="ID ligne"/>
    <tableColumn id="20" name="Type" dataDxfId="1">
      <calculatedColumnFormula>IF(Lignes_2_1[[#This Row],[Rôle ou catégorie]]="","",IFERROR(INDEX(Referentiel[[Type de nature]],MATCH(Lignes_2_1[[#This Row],[Rôle ou catégorie]],Referentiel[[Entrée]],0)),"?"))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Lignes_hors_lot" displayName="Lignes_hors_lot" ref="A1:T33" totalsRowCount="1">
  <autoFilter ref="A1:T32"/>
  <tableColumns count="20">
    <tableColumn id="1" name="Tâche" totalsRowLabel="Total" dataDxfId="0"/>
    <tableColumn id="2" name="Description de la tâche" dataDxfId="1">
      <calculatedColumnFormula>IF(Lignes_hors_lot[[#This Row],[Tâche]]="","",IFERROR(INDEX(Taches[[Description]],MATCH(Lignes_hors_lot[[#This Row],[Tâche]],Taches[[Entrée]],0)),""))</calculatedColumnFormula>
    </tableColumn>
    <tableColumn id="3" name="Rôle ou catégorie" dataDxfId="0"/>
    <tableColumn id="4" name="Désignation" dataDxfId="0"/>
    <tableColumn id="5" name="Quantité"/>
    <tableColumn id="6" name="Heures"/>
    <tableColumn id="7" name="Débours unitaire"/>
    <tableColumn id="8" name="Délai de paiement (j)"/>
    <tableColumn id="9" name="Sous-projet" dataDxfId="0"/>
    <tableColumn id="10" name="Nature" dataDxfId="1">
      <calculatedColumnFormula>IF(Lignes_hors_lot[[#This Row],[Rôle ou catégorie]]="","",IFERROR(INDEX(Referentiel[[Nature]],MATCH(Lignes_hors_lot[[#This Row],[Rôle ou catégorie]],Referentiel[[Entrée]],0)),"?"))</calculatedColumnFormula>
    </tableColumn>
    <tableColumn id="11" name="Code comptable" dataDxfId="1">
      <calculatedColumnFormula>IF(Lignes_hors_lot[[#This Row],[Rôle ou catégorie]]="","",IFERROR(INDEX(Referentiel[[Code comptable]],MATCH(Lignes_hors_lot[[#This Row],[Rôle ou catégorie]],Referentiel[[Entrée]],0)),"?"))</calculatedColumnFormula>
    </tableColumn>
    <tableColumn id="12" name="Service" dataDxfId="1">
      <calculatedColumnFormula>IF(Lignes_hors_lot[[#This Row],[Rôle ou catégorie]]="","",IFERROR(INDEX(Referentiel[[Service]],MATCH(Lignes_hors_lot[[#This Row],[Rôle ou catégorie]],Referentiel[[Entrée]],0)),"?")&amp;"")</calculatedColumnFormula>
    </tableColumn>
    <tableColumn id="13" name="Taux horaire" dataDxfId="1">
      <calculatedColumnFormula>IF(Lignes_hors_lot[[#This Row],[Rôle ou catégorie]]="","",IFERROR(INDEX(Referentiel[[Taux horaire]],MATCH(Lignes_hors_lot[[#This Row],[Rôle ou catégorie]],Referentiel[[Entrée]],0)),"?"))</calculatedColumnFormula>
    </tableColumn>
    <tableColumn id="14" name="Heures totales" totalsRowFunction="custom" dataDxfId="2">
      <calculatedColumnFormula>IF(Lignes_hors_lot[[#This Row],[Rôle ou catégorie]]="","",IF(Lignes_hors_lot[[#This Row],[Type]]="Main-d’œuvre",Lignes_hors_lot[[#This Row],[Quantité]]*Lignes_hors_lot[[#This Row],[Heures]],0))</calculatedColumnFormula>
      <totalsRowFormula>SUBTOTAL(109,Lignes_hors_lot[[Heures totales]])</totalsRowFormula>
    </tableColumn>
    <tableColumn id="15" name="Main-d’œuvre" totalsRowFunction="custom" dataDxfId="3">
      <calculatedColumnFormula>IF(Lignes_hors_lot[[#This Row],[Rôle ou catégorie]]="","",IF(Lignes_hors_lot[[#This Row],[Type]]="Main-d’œuvre",Lignes_hors_lot[[#This Row],[Quantité]]*Lignes_hors_lot[[#This Row],[Heures]]*Lignes_hors_lot[[#This Row],[Taux horaire]],0))</calculatedColumnFormula>
      <totalsRowFormula>SUBTOTAL(109,Lignes_hors_lot[[Main-d’œuvre]])</totalsRowFormula>
    </tableColumn>
    <tableColumn id="16" name="Débours" totalsRowFunction="custom" dataDxfId="3">
      <calculatedColumnFormula>IF(Lignes_hors_lot[[#This Row],[Rôle ou catégorie]]="","",IF(OR(Lignes_hors_lot[[#This Row],[Type]]="Hors main-d’œuvre",Lignes_hors_lot[[#This Row],[Type]]="Provision"),Lignes_hors_lot[[#This Row],[Quantité]]*Lignes_hors_lot[[#This Row],[Débours unitaire]],0))</calculatedColumnFormula>
      <totalsRowFormula>SUBTOTAL(109,Lignes_hors_lot[[Débours]])</totalsRowFormula>
    </tableColumn>
    <tableColumn id="17" name="Montant" totalsRowFunction="custom" dataDxfId="3">
      <calculatedColumnFormula>IF(Lignes_hors_lot[[#This Row],[Rôle ou catégorie]]="","",Lignes_hors_lot[[#This Row],[Main-d’œuvre]]+Lignes_hors_lot[[#This Row],[Débours]])</calculatedColumnFormula>
      <totalsRowFormula>SUBTOTAL(109,Lignes_hors_lot[[Montant]])</totalsRowFormula>
    </tableColumn>
    <tableColumn id="18" name="Montant Waterfall" totalsRowFunction="custom" dataDxfId="3">
      <totalsRowFormula>SUBTOTAL(109,Lignes_hors_lot[[Montant Waterfall]])</totalsRowFormula>
    </tableColumn>
    <tableColumn id="19" name="ID ligne"/>
    <tableColumn id="20" name="Type" dataDxfId="1">
      <calculatedColumnFormula>IF(Lignes_hors_lot[[#This Row],[Rôle ou catégorie]]="","",IFERROR(INDEX(Referentiel[[Type de nature]],MATCH(Lignes_hors_lot[[#This Row],[Rôle ou catégorie]],Referentiel[[Entrée]],0)),"?"))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ches" displayName="Taches" ref="A4:H17" totalsRowShown="0">
  <autoFilter ref="A4:H17"/>
  <tableColumns count="8">
    <tableColumn id="1" name="Entrée"/>
    <tableColumn id="2" name="ID tâche"/>
    <tableColumn id="3" name="N°"/>
    <tableColumn id="4" name="Libellé"/>
    <tableColumn id="5" name="Onglet"/>
    <tableColumn id="6" name="Début"/>
    <tableColumn id="7" name="Fin"/>
    <tableColumn id="8" name="Description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Referentiel" displayName="Referentiel" ref="A4:I14" totalsRowShown="0">
  <autoFilter ref="A4:I14"/>
  <tableColumns count="9">
    <tableColumn id="1" name="Entrée"/>
    <tableColumn id="2" name="Genre"/>
    <tableColumn id="3" name="Code"/>
    <tableColumn id="4" name="Libellé"/>
    <tableColumn id="5" name="Service"/>
    <tableColumn id="6" name="Nature"/>
    <tableColumn id="7" name="Type de nature"/>
    <tableColumn id="8" name="Code comptable"/>
    <tableColumn id="9" name="Taux horair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SousProjets" displayName="SousProjets" ref="K4:L6" totalsRowShown="0">
  <autoFilter ref="K4:L6"/>
  <tableColumns count="2">
    <tableColumn id="1" name="Code"/>
    <tableColumn id="2" name="Libellé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table" Target="../tables/table1.x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table" Target="../tables/table2.x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table" Target="../tables/table3.xml"/><Relationship Id="rId3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table" Target="../tables/table4.xml"/><Relationship Id="rId3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table" Target="../tables/table5.xml"/><Relationship Id="rId3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5"/>
  <sheetViews>
    <sheetView tabSelected="1" workbookViewId="0"/>
  </sheetViews>
  <sheetFormatPr defaultRowHeight="15"/>
  <cols>
    <col min="1" max="1" width="44.7109375" customWidth="1"/>
    <col min="2" max="2" width="24.7109375" customWidth="1"/>
    <col min="3" max="3" width="10.7109375" customWidth="1"/>
    <col min="4" max="4" width="34.7109375" customWidth="1"/>
  </cols>
  <sheetData>
    <row r="1" spans="1:3">
      <c r="A1" t="s">
        <v>185</v>
      </c>
      <c r="B1" t="s">
        <v>186</v>
      </c>
    </row>
    <row r="2" spans="1:3">
      <c r="A2" t="s">
        <v>187</v>
      </c>
      <c r="B2" s="1">
        <v>1</v>
      </c>
    </row>
    <row r="4" spans="1:3">
      <c r="A4" s="2" t="s">
        <v>188</v>
      </c>
    </row>
    <row r="6" spans="1:3">
      <c r="A6" s="3" t="s">
        <v>189</v>
      </c>
      <c r="B6" s="1" t="s">
        <v>190</v>
      </c>
    </row>
    <row r="7" spans="1:3">
      <c r="A7" s="3" t="s">
        <v>191</v>
      </c>
      <c r="B7" s="1" t="s">
        <v>192</v>
      </c>
    </row>
    <row r="8" spans="1:3">
      <c r="A8" s="3" t="s">
        <v>193</v>
      </c>
      <c r="B8" s="1" t="s">
        <v>194</v>
      </c>
    </row>
    <row r="9" spans="1:3">
      <c r="A9" s="3" t="s">
        <v>195</v>
      </c>
      <c r="B9" s="1" t="s">
        <v>196</v>
      </c>
    </row>
    <row r="10" spans="1:3">
      <c r="A10" s="3" t="s">
        <v>197</v>
      </c>
      <c r="B10" s="1">
        <v>2026</v>
      </c>
    </row>
    <row r="11" spans="1:3">
      <c r="A11" s="3" t="s">
        <v>198</v>
      </c>
      <c r="B11" s="1" t="s">
        <v>199</v>
      </c>
    </row>
    <row r="12" spans="1:3">
      <c r="A12" s="3" t="s">
        <v>200</v>
      </c>
      <c r="B12" s="1" t="s">
        <v>201</v>
      </c>
    </row>
    <row r="14" spans="1:3">
      <c r="A14" s="3" t="s">
        <v>202</v>
      </c>
    </row>
    <row r="15" spans="1:3">
      <c r="A15" s="3" t="s">
        <v>7</v>
      </c>
      <c r="B15" s="3" t="s">
        <v>152</v>
      </c>
      <c r="C15" s="3" t="s">
        <v>203</v>
      </c>
    </row>
    <row r="16" spans="1:3">
      <c r="A16" t="s">
        <v>16</v>
      </c>
      <c r="B16" s="4">
        <f>Devis!E13</f>
        <v>0</v>
      </c>
      <c r="C16" s="5">
        <f>IF(B20=0,0,B16/B20)</f>
        <v>0</v>
      </c>
    </row>
    <row r="17" spans="1:3">
      <c r="A17" t="s">
        <v>41</v>
      </c>
      <c r="B17" s="4">
        <f>Devis!F13</f>
        <v>0</v>
      </c>
      <c r="C17" s="5">
        <f>IF(B20=0,0,B17/B20)</f>
        <v>0</v>
      </c>
    </row>
    <row r="18" spans="1:3">
      <c r="A18" t="s">
        <v>49</v>
      </c>
      <c r="B18" s="4">
        <f>Devis!G13</f>
        <v>0</v>
      </c>
      <c r="C18" s="5">
        <f>IF(B20=0,0,B18/B20)</f>
        <v>0</v>
      </c>
    </row>
    <row r="19" spans="1:3">
      <c r="A19" t="s">
        <v>53</v>
      </c>
      <c r="B19" s="4">
        <f>Devis!H13</f>
        <v>0</v>
      </c>
      <c r="C19" s="5">
        <f>IF(B20=0,0,B19/B20)</f>
        <v>0</v>
      </c>
    </row>
    <row r="20" spans="1:3">
      <c r="A20" s="3" t="s">
        <v>140</v>
      </c>
      <c r="B20" s="6">
        <f>SUM(B16:B19)</f>
        <v>0</v>
      </c>
    </row>
    <row r="22" spans="1:3">
      <c r="A22" s="3" t="s">
        <v>204</v>
      </c>
      <c r="B22" s="6">
        <f>Devis!M13</f>
        <v>0</v>
      </c>
    </row>
    <row r="23" spans="1:3">
      <c r="A23" s="7" t="s">
        <v>205</v>
      </c>
    </row>
    <row r="25" spans="1:3">
      <c r="A25" s="8" t="s">
        <v>206</v>
      </c>
    </row>
  </sheetData>
  <pageMargins left="0.7" right="0.7" top="0.75" bottom="0.75" header="0.3" footer="0.3"/>
  <pageSetup orientation="portrait"/>
  <headerFooter>
    <oddFooter>&amp;L&amp;8© 2026 Exemple Industrie — Généré par Waterfall le 2026-10-22 14:05 — logiciel libre sous licence AGPL-3.0 — www.waterfall-project.pro&amp;R&amp;8Page &amp;P / 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7.7109375" customWidth="1"/>
    <col min="4" max="4" width="7.7109375" hidden="1" customWidth="1"/>
    <col min="5" max="13" width="14.7109375" customWidth="1"/>
  </cols>
  <sheetData>
    <row r="1" spans="1:13">
      <c r="A1" s="2" t="s">
        <v>172</v>
      </c>
    </row>
    <row r="2" spans="1:13">
      <c r="A2" s="7" t="s">
        <v>173</v>
      </c>
    </row>
    <row r="5" spans="1:13" ht="32" customHeight="1">
      <c r="A5" s="9" t="s">
        <v>61</v>
      </c>
      <c r="B5" s="9" t="s">
        <v>174</v>
      </c>
      <c r="C5" s="9" t="s">
        <v>175</v>
      </c>
      <c r="D5" s="9" t="s">
        <v>176</v>
      </c>
      <c r="E5" s="9" t="s">
        <v>16</v>
      </c>
      <c r="F5" s="9" t="s">
        <v>41</v>
      </c>
      <c r="G5" s="9" t="s">
        <v>49</v>
      </c>
      <c r="H5" s="9" t="s">
        <v>53</v>
      </c>
      <c r="I5" s="9" t="s">
        <v>177</v>
      </c>
      <c r="J5" s="9" t="s">
        <v>178</v>
      </c>
      <c r="K5" s="9" t="s">
        <v>179</v>
      </c>
      <c r="L5" s="9" t="s">
        <v>140</v>
      </c>
      <c r="M5" s="9" t="s">
        <v>153</v>
      </c>
    </row>
    <row r="6" spans="1:13">
      <c r="A6" s="10" t="s">
        <v>109</v>
      </c>
      <c r="B6" s="10" t="s">
        <v>110</v>
      </c>
      <c r="C6" s="10"/>
      <c r="D6" s="10" t="s">
        <v>180</v>
      </c>
      <c r="E6" s="11">
        <f>SUM(E7:E9)</f>
        <v>0</v>
      </c>
      <c r="F6" s="11">
        <f>SUM(F7:F9)</f>
        <v>0</v>
      </c>
      <c r="G6" s="11">
        <f>SUM(G7:G9)</f>
        <v>0</v>
      </c>
      <c r="H6" s="11">
        <f>SUM(H7:H9)</f>
        <v>0</v>
      </c>
      <c r="I6" s="12">
        <f>SUM(I7:I9)</f>
        <v>0</v>
      </c>
      <c r="J6" s="12">
        <f>SUM(J7:J9)</f>
        <v>0</v>
      </c>
      <c r="K6" s="12">
        <f>SUM(K7:K9)</f>
        <v>0</v>
      </c>
      <c r="L6" s="11">
        <f>SUM(L7:L9)</f>
        <v>0</v>
      </c>
      <c r="M6" s="11">
        <f>SUM(M7:M9)</f>
        <v>0</v>
      </c>
    </row>
    <row r="7" spans="1:13">
      <c r="A7" t="s">
        <v>68</v>
      </c>
      <c r="B7" t="s">
        <v>69</v>
      </c>
      <c r="C7" t="s">
        <v>181</v>
      </c>
      <c r="D7" t="s">
        <v>182</v>
      </c>
      <c r="E7" s="4">
        <f>IF($C$7="Oui",SUMIFS(Lignes_1_1[[Montant]],Lignes_1_1[[Nature]],"Main-d’œuvre"),0)</f>
        <v>0</v>
      </c>
      <c r="F7" s="4">
        <f>IF($C$7="Oui",SUMIFS(Lignes_1_1[[Montant]],Lignes_1_1[[Nature]],"Fournitures"),0)</f>
        <v>0</v>
      </c>
      <c r="G7" s="4">
        <f>IF($C$7="Oui",SUMIFS(Lignes_1_1[[Montant]],Lignes_1_1[[Nature]],"Sous-traitance"),0)</f>
        <v>0</v>
      </c>
      <c r="H7" s="4">
        <f>IF($C$7="Oui",SUMIFS(Lignes_1_1[[Montant]],Lignes_1_1[[Nature]],"Provisions pour risques"),0)</f>
        <v>0</v>
      </c>
      <c r="I7" s="13">
        <f>IF($C$7="Oui",SUMIFS(Lignes_1_1[[Heures totales]],Lignes_1_1[[Code comptable]],"I810"),0)</f>
        <v>0</v>
      </c>
      <c r="J7" s="13">
        <f>IF($C$7="Oui",SUMIFS(Lignes_1_1[[Heures totales]],Lignes_1_1[[Code comptable]],"I329"),0)</f>
        <v>0</v>
      </c>
      <c r="K7" s="13">
        <f>IF($C$7="Oui",SUMIFS(Lignes_1_1[[Heures totales]],Lignes_1_1[[Code comptable]],"I1M2"),0)</f>
        <v>0</v>
      </c>
      <c r="L7" s="4">
        <f>IF($C$7="Oui",SUM(Lignes_1_1[[Montant]]),0)</f>
        <v>0</v>
      </c>
      <c r="M7" s="4">
        <f>IF($C$7="Oui",SUM(Lignes_1_1[[Montant Waterfall]]),0)</f>
        <v>0</v>
      </c>
    </row>
    <row r="8" spans="1:13">
      <c r="A8" t="s">
        <v>92</v>
      </c>
      <c r="B8" t="s">
        <v>93</v>
      </c>
      <c r="C8" t="s">
        <v>181</v>
      </c>
      <c r="D8" t="s">
        <v>182</v>
      </c>
      <c r="E8" s="4">
        <f>IF($C$8="Oui",SUMIFS(Lignes_1_2[[Montant]],Lignes_1_2[[Nature]],"Main-d’œuvre"),0)</f>
        <v>0</v>
      </c>
      <c r="F8" s="4">
        <f>IF($C$8="Oui",SUMIFS(Lignes_1_2[[Montant]],Lignes_1_2[[Nature]],"Fournitures"),0)</f>
        <v>0</v>
      </c>
      <c r="G8" s="4">
        <f>IF($C$8="Oui",SUMIFS(Lignes_1_2[[Montant]],Lignes_1_2[[Nature]],"Sous-traitance"),0)</f>
        <v>0</v>
      </c>
      <c r="H8" s="4">
        <f>IF($C$8="Oui",SUMIFS(Lignes_1_2[[Montant]],Lignes_1_2[[Nature]],"Provisions pour risques"),0)</f>
        <v>0</v>
      </c>
      <c r="I8" s="13">
        <f>IF($C$8="Oui",SUMIFS(Lignes_1_2[[Heures totales]],Lignes_1_2[[Code comptable]],"I810"),0)</f>
        <v>0</v>
      </c>
      <c r="J8" s="13">
        <f>IF($C$8="Oui",SUMIFS(Lignes_1_2[[Heures totales]],Lignes_1_2[[Code comptable]],"I329"),0)</f>
        <v>0</v>
      </c>
      <c r="K8" s="13">
        <f>IF($C$8="Oui",SUMIFS(Lignes_1_2[[Heures totales]],Lignes_1_2[[Code comptable]],"I1M2"),0)</f>
        <v>0</v>
      </c>
      <c r="L8" s="4">
        <f>IF($C$8="Oui",SUM(Lignes_1_2[[Montant]]),0)</f>
        <v>0</v>
      </c>
      <c r="M8" s="4">
        <f>IF($C$8="Oui",SUM(Lignes_1_2[[Montant Waterfall]]),0)</f>
        <v>0</v>
      </c>
    </row>
    <row r="9" spans="1:13">
      <c r="A9" t="s">
        <v>109</v>
      </c>
      <c r="B9" t="s">
        <v>183</v>
      </c>
      <c r="C9" t="s">
        <v>181</v>
      </c>
      <c r="D9" t="s">
        <v>182</v>
      </c>
      <c r="E9" s="4">
        <f>IF($C$9="Oui",SUMIFS(Lignes_1[[Montant]],Lignes_1[[Nature]],"Main-d’œuvre"),0)</f>
        <v>0</v>
      </c>
      <c r="F9" s="4">
        <f>IF($C$9="Oui",SUMIFS(Lignes_1[[Montant]],Lignes_1[[Nature]],"Fournitures"),0)</f>
        <v>0</v>
      </c>
      <c r="G9" s="4">
        <f>IF($C$9="Oui",SUMIFS(Lignes_1[[Montant]],Lignes_1[[Nature]],"Sous-traitance"),0)</f>
        <v>0</v>
      </c>
      <c r="H9" s="4">
        <f>IF($C$9="Oui",SUMIFS(Lignes_1[[Montant]],Lignes_1[[Nature]],"Provisions pour risques"),0)</f>
        <v>0</v>
      </c>
      <c r="I9" s="13">
        <f>IF($C$9="Oui",SUMIFS(Lignes_1[[Heures totales]],Lignes_1[[Code comptable]],"I810"),0)</f>
        <v>0</v>
      </c>
      <c r="J9" s="13">
        <f>IF($C$9="Oui",SUMIFS(Lignes_1[[Heures totales]],Lignes_1[[Code comptable]],"I329"),0)</f>
        <v>0</v>
      </c>
      <c r="K9" s="13">
        <f>IF($C$9="Oui",SUMIFS(Lignes_1[[Heures totales]],Lignes_1[[Code comptable]],"I1M2"),0)</f>
        <v>0</v>
      </c>
      <c r="L9" s="4">
        <f>IF($C$9="Oui",SUM(Lignes_1[[Montant]]),0)</f>
        <v>0</v>
      </c>
      <c r="M9" s="4">
        <f>IF($C$9="Oui",SUM(Lignes_1[[Montant Waterfall]]),0)</f>
        <v>0</v>
      </c>
    </row>
    <row r="10" spans="1:13">
      <c r="A10" s="10" t="s">
        <v>120</v>
      </c>
      <c r="B10" s="10" t="s">
        <v>121</v>
      </c>
      <c r="C10" s="10"/>
      <c r="D10" s="10" t="s">
        <v>180</v>
      </c>
      <c r="E10" s="11">
        <f>SUM(E11:E11)</f>
        <v>0</v>
      </c>
      <c r="F10" s="11">
        <f>SUM(F11:F11)</f>
        <v>0</v>
      </c>
      <c r="G10" s="11">
        <f>SUM(G11:G11)</f>
        <v>0</v>
      </c>
      <c r="H10" s="11">
        <f>SUM(H11:H11)</f>
        <v>0</v>
      </c>
      <c r="I10" s="12">
        <f>SUM(I11:I11)</f>
        <v>0</v>
      </c>
      <c r="J10" s="12">
        <f>SUM(J11:J11)</f>
        <v>0</v>
      </c>
      <c r="K10" s="12">
        <f>SUM(K11:K11)</f>
        <v>0</v>
      </c>
      <c r="L10" s="11">
        <f>SUM(L11:L11)</f>
        <v>0</v>
      </c>
      <c r="M10" s="11">
        <f>SUM(M11:M11)</f>
        <v>0</v>
      </c>
    </row>
    <row r="11" spans="1:13">
      <c r="A11" t="s">
        <v>126</v>
      </c>
      <c r="B11" t="s">
        <v>127</v>
      </c>
      <c r="C11" t="s">
        <v>181</v>
      </c>
      <c r="D11" t="s">
        <v>182</v>
      </c>
      <c r="E11" s="4">
        <f>IF($C$11="Oui",SUMIFS(Lignes_2_1[[Montant]],Lignes_2_1[[Nature]],"Main-d’œuvre"),0)</f>
        <v>0</v>
      </c>
      <c r="F11" s="4">
        <f>IF($C$11="Oui",SUMIFS(Lignes_2_1[[Montant]],Lignes_2_1[[Nature]],"Fournitures"),0)</f>
        <v>0</v>
      </c>
      <c r="G11" s="4">
        <f>IF($C$11="Oui",SUMIFS(Lignes_2_1[[Montant]],Lignes_2_1[[Nature]],"Sous-traitance"),0)</f>
        <v>0</v>
      </c>
      <c r="H11" s="4">
        <f>IF($C$11="Oui",SUMIFS(Lignes_2_1[[Montant]],Lignes_2_1[[Nature]],"Provisions pour risques"),0)</f>
        <v>0</v>
      </c>
      <c r="I11" s="13">
        <f>IF($C$11="Oui",SUMIFS(Lignes_2_1[[Heures totales]],Lignes_2_1[[Code comptable]],"I810"),0)</f>
        <v>0</v>
      </c>
      <c r="J11" s="13">
        <f>IF($C$11="Oui",SUMIFS(Lignes_2_1[[Heures totales]],Lignes_2_1[[Code comptable]],"I329"),0)</f>
        <v>0</v>
      </c>
      <c r="K11" s="13">
        <f>IF($C$11="Oui",SUMIFS(Lignes_2_1[[Heures totales]],Lignes_2_1[[Code comptable]],"I1M2"),0)</f>
        <v>0</v>
      </c>
      <c r="L11" s="4">
        <f>IF($C$11="Oui",SUM(Lignes_2_1[[Montant]]),0)</f>
        <v>0</v>
      </c>
      <c r="M11" s="4">
        <f>IF($C$11="Oui",SUM(Lignes_2_1[[Montant Waterfall]]),0)</f>
        <v>0</v>
      </c>
    </row>
    <row r="12" spans="1:13">
      <c r="A12" t="s">
        <v>184</v>
      </c>
      <c r="B12" t="s">
        <v>138</v>
      </c>
      <c r="C12" t="s">
        <v>181</v>
      </c>
      <c r="D12" t="s">
        <v>182</v>
      </c>
      <c r="E12" s="4">
        <f>IF($C$12="Oui",SUMIFS(Lignes_hors_lot[[Montant]],Lignes_hors_lot[[Nature]],"Main-d’œuvre"),0)</f>
        <v>0</v>
      </c>
      <c r="F12" s="4">
        <f>IF($C$12="Oui",SUMIFS(Lignes_hors_lot[[Montant]],Lignes_hors_lot[[Nature]],"Fournitures"),0)</f>
        <v>0</v>
      </c>
      <c r="G12" s="4">
        <f>IF($C$12="Oui",SUMIFS(Lignes_hors_lot[[Montant]],Lignes_hors_lot[[Nature]],"Sous-traitance"),0)</f>
        <v>0</v>
      </c>
      <c r="H12" s="4">
        <f>IF($C$12="Oui",SUMIFS(Lignes_hors_lot[[Montant]],Lignes_hors_lot[[Nature]],"Provisions pour risques"),0)</f>
        <v>0</v>
      </c>
      <c r="I12" s="13">
        <f>IF($C$12="Oui",SUMIFS(Lignes_hors_lot[[Heures totales]],Lignes_hors_lot[[Code comptable]],"I810"),0)</f>
        <v>0</v>
      </c>
      <c r="J12" s="13">
        <f>IF($C$12="Oui",SUMIFS(Lignes_hors_lot[[Heures totales]],Lignes_hors_lot[[Code comptable]],"I329"),0)</f>
        <v>0</v>
      </c>
      <c r="K12" s="13">
        <f>IF($C$12="Oui",SUMIFS(Lignes_hors_lot[[Heures totales]],Lignes_hors_lot[[Code comptable]],"I1M2"),0)</f>
        <v>0</v>
      </c>
      <c r="L12" s="4">
        <f>IF($C$12="Oui",SUM(Lignes_hors_lot[[Montant]]),0)</f>
        <v>0</v>
      </c>
      <c r="M12" s="4">
        <f>IF($C$12="Oui",SUM(Lignes_hors_lot[[Montant Waterfall]]),0)</f>
        <v>0</v>
      </c>
    </row>
    <row r="13" spans="1:13">
      <c r="B13" s="3" t="s">
        <v>140</v>
      </c>
      <c r="E13" s="6">
        <f>SUMIFS(E6:E12,$D$6:$D$12,"onglet")</f>
        <v>0</v>
      </c>
      <c r="F13" s="6">
        <f>SUMIFS(F6:F12,$D$6:$D$12,"onglet")</f>
        <v>0</v>
      </c>
      <c r="G13" s="6">
        <f>SUMIFS(G6:G12,$D$6:$D$12,"onglet")</f>
        <v>0</v>
      </c>
      <c r="H13" s="6">
        <f>SUMIFS(H6:H12,$D$6:$D$12,"onglet")</f>
        <v>0</v>
      </c>
      <c r="I13" s="14">
        <f>SUMIFS(I6:I12,$D$6:$D$12,"onglet")</f>
        <v>0</v>
      </c>
      <c r="J13" s="14">
        <f>SUMIFS(J6:J12,$D$6:$D$12,"onglet")</f>
        <v>0</v>
      </c>
      <c r="K13" s="14">
        <f>SUMIFS(K6:K12,$D$6:$D$12,"onglet")</f>
        <v>0</v>
      </c>
      <c r="L13" s="6">
        <f>SUMIFS(L6:L12,$D$6:$D$12,"onglet")</f>
        <v>0</v>
      </c>
      <c r="M13" s="6">
        <f>SUMIFS(M6:M12,$D$6:$D$12,"onglet")</f>
        <v>0</v>
      </c>
    </row>
  </sheetData>
  <dataValidations count="5">
    <dataValidation type="list" allowBlank="1" showInputMessage="1" showErrorMessage="1" sqref="C7">
      <formula1>"Oui,Non"</formula1>
    </dataValidation>
    <dataValidation type="list" allowBlank="1" showInputMessage="1" showErrorMessage="1" sqref="C8">
      <formula1>"Oui,Non"</formula1>
    </dataValidation>
    <dataValidation type="list" allowBlank="1" showInputMessage="1" showErrorMessage="1" sqref="C9">
      <formula1>"Oui,Non"</formula1>
    </dataValidation>
    <dataValidation type="list" allowBlank="1" showInputMessage="1" showErrorMessage="1" sqref="C11">
      <formula1>"Oui,Non"</formula1>
    </dataValidation>
    <dataValidation type="list" allowBlank="1" showInputMessage="1" showErrorMessage="1" sqref="C12">
      <formula1>"Oui,Non"</formula1>
    </dataValidation>
  </dataValidations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T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outlineLevelCol="1"/>
  <cols>
    <col min="1" max="3" width="34.7109375" customWidth="1"/>
    <col min="4" max="4" width="30.7109375" customWidth="1"/>
    <col min="5" max="5" width="10.7109375" customWidth="1"/>
    <col min="6" max="6" width="9.7109375" customWidth="1"/>
    <col min="7" max="7" width="12.7109375" customWidth="1"/>
    <col min="8" max="8" width="11.7109375" customWidth="1"/>
    <col min="9" max="9" width="12.7109375" customWidth="1"/>
    <col min="10" max="10" width="18.7109375" customWidth="1"/>
    <col min="11" max="11" width="11.7109375" customWidth="1"/>
    <col min="12" max="12" width="22.7109375" customWidth="1"/>
    <col min="13" max="13" width="9.7109375" customWidth="1"/>
    <col min="14" max="14" width="10.7109375" customWidth="1"/>
    <col min="15" max="17" width="13.7109375" customWidth="1"/>
    <col min="18" max="18" width="14.7109375" customWidth="1"/>
    <col min="19" max="19" width="10.7109375" hidden="1" customWidth="1" outlineLevel="1"/>
    <col min="20" max="20" width="14.7109375" hidden="1" customWidth="1" outlineLevel="1"/>
  </cols>
  <sheetData>
    <row r="1" spans="1:20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7</v>
      </c>
      <c r="K1" t="s">
        <v>9</v>
      </c>
      <c r="L1" t="s">
        <v>6</v>
      </c>
      <c r="M1" t="s">
        <v>10</v>
      </c>
      <c r="N1" t="s">
        <v>150</v>
      </c>
      <c r="O1" t="s">
        <v>16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</row>
    <row r="2" spans="1:20">
      <c r="A2" s="15" t="s">
        <v>72</v>
      </c>
      <c r="B2" s="16">
        <f>IF(Lignes_1_1[[#This Row],[Tâche]]="","",IFERROR(INDEX(Taches[[Description]],MATCH(Lignes_1_1[[#This Row],[Tâche]],Taches[[Entrée]],0)),""))</f>
        <v>0</v>
      </c>
      <c r="C2" s="15" t="s">
        <v>11</v>
      </c>
      <c r="D2" s="15"/>
      <c r="E2">
        <v>5</v>
      </c>
      <c r="F2">
        <v>7.4</v>
      </c>
      <c r="H2">
        <v>0</v>
      </c>
      <c r="I2" s="15" t="s">
        <v>57</v>
      </c>
      <c r="J2" s="16">
        <f>IF(Lignes_1_1[[#This Row],[Rôle ou catégorie]]="","",IFERROR(INDEX(Referentiel[[Nature]],MATCH(Lignes_1_1[[#This Row],[Rôle ou catégorie]],Referentiel[[Entrée]],0)),"?"))</f>
        <v>0</v>
      </c>
      <c r="K2" s="16">
        <f>IF(Lignes_1_1[[#This Row],[Rôle ou catégorie]]="","",IFERROR(INDEX(Referentiel[[Code comptable]],MATCH(Lignes_1_1[[#This Row],[Rôle ou catégorie]],Referentiel[[Entrée]],0)),"?"))</f>
        <v>0</v>
      </c>
      <c r="L2" s="16">
        <f>IF(Lignes_1_1[[#This Row],[Rôle ou catégorie]]="","",IFERROR(INDEX(Referentiel[[Service]],MATCH(Lignes_1_1[[#This Row],[Rôle ou catégorie]],Referentiel[[Entrée]],0)),"?")&amp;"")</f>
        <v>0</v>
      </c>
      <c r="M2" s="16">
        <f>IF(Lignes_1_1[[#This Row],[Rôle ou catégorie]]="","",IFERROR(INDEX(Referentiel[[Taux horaire]],MATCH(Lignes_1_1[[#This Row],[Rôle ou catégorie]],Referentiel[[Entrée]],0)),"?"))</f>
        <v>0</v>
      </c>
      <c r="N2" s="17">
        <f>IF(Lignes_1_1[[#This Row],[Rôle ou catégorie]]="","",IF(Lignes_1_1[[#This Row],[Type]]="Main-d’œuvre",Lignes_1_1[[#This Row],[Quantité]]*Lignes_1_1[[#This Row],[Heures]],0))</f>
        <v>0</v>
      </c>
      <c r="O2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" s="18">
        <f>IF(Lignes_1_1[[#This Row],[Rôle ou catégorie]]="","",Lignes_1_1[[#This Row],[Main-d’œuvre]]+Lignes_1_1[[#This Row],[Débours]])</f>
        <v>0</v>
      </c>
      <c r="R2" s="18">
        <v>3700</v>
      </c>
      <c r="S2" t="s">
        <v>156</v>
      </c>
      <c r="T2" s="16">
        <f>IF(Lignes_1_1[[#This Row],[Rôle ou catégorie]]="","",IFERROR(INDEX(Referentiel[[Type de nature]],MATCH(Lignes_1_1[[#This Row],[Rôle ou catégorie]],Referentiel[[Entrée]],0)),"?"))</f>
        <v>0</v>
      </c>
    </row>
    <row r="3" spans="1:20">
      <c r="A3" s="15" t="s">
        <v>77</v>
      </c>
      <c r="B3" s="16">
        <f>IF(Lignes_1_1[[#This Row],[Tâche]]="","",IFERROR(INDEX(Taches[[Description]],MATCH(Lignes_1_1[[#This Row],[Tâche]],Taches[[Entrée]],0)),""))</f>
        <v>0</v>
      </c>
      <c r="C3" s="15" t="s">
        <v>22</v>
      </c>
      <c r="D3" s="15"/>
      <c r="E3">
        <v>20</v>
      </c>
      <c r="F3">
        <v>7.4</v>
      </c>
      <c r="H3">
        <v>0</v>
      </c>
      <c r="I3" s="15" t="s">
        <v>57</v>
      </c>
      <c r="J3" s="16">
        <f>IF(Lignes_1_1[[#This Row],[Rôle ou catégorie]]="","",IFERROR(INDEX(Referentiel[[Nature]],MATCH(Lignes_1_1[[#This Row],[Rôle ou catégorie]],Referentiel[[Entrée]],0)),"?"))</f>
        <v>0</v>
      </c>
      <c r="K3" s="16">
        <f>IF(Lignes_1_1[[#This Row],[Rôle ou catégorie]]="","",IFERROR(INDEX(Referentiel[[Code comptable]],MATCH(Lignes_1_1[[#This Row],[Rôle ou catégorie]],Referentiel[[Entrée]],0)),"?"))</f>
        <v>0</v>
      </c>
      <c r="L3" s="16">
        <f>IF(Lignes_1_1[[#This Row],[Rôle ou catégorie]]="","",IFERROR(INDEX(Referentiel[[Service]],MATCH(Lignes_1_1[[#This Row],[Rôle ou catégorie]],Referentiel[[Entrée]],0)),"?")&amp;"")</f>
        <v>0</v>
      </c>
      <c r="M3" s="16">
        <f>IF(Lignes_1_1[[#This Row],[Rôle ou catégorie]]="","",IFERROR(INDEX(Referentiel[[Taux horaire]],MATCH(Lignes_1_1[[#This Row],[Rôle ou catégorie]],Referentiel[[Entrée]],0)),"?"))</f>
        <v>0</v>
      </c>
      <c r="N3" s="17">
        <f>IF(Lignes_1_1[[#This Row],[Rôle ou catégorie]]="","",IF(Lignes_1_1[[#This Row],[Type]]="Main-d’œuvre",Lignes_1_1[[#This Row],[Quantité]]*Lignes_1_1[[#This Row],[Heures]],0))</f>
        <v>0</v>
      </c>
      <c r="O3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" s="18">
        <f>IF(Lignes_1_1[[#This Row],[Rôle ou catégorie]]="","",Lignes_1_1[[#This Row],[Main-d’œuvre]]+Lignes_1_1[[#This Row],[Débours]])</f>
        <v>0</v>
      </c>
      <c r="R3" s="18">
        <v>11840</v>
      </c>
      <c r="S3" t="s">
        <v>157</v>
      </c>
      <c r="T3" s="16">
        <f>IF(Lignes_1_1[[#This Row],[Rôle ou catégorie]]="","",IFERROR(INDEX(Referentiel[[Type de nature]],MATCH(Lignes_1_1[[#This Row],[Rôle ou catégorie]],Referentiel[[Entrée]],0)),"?"))</f>
        <v>0</v>
      </c>
    </row>
    <row r="4" spans="1:20">
      <c r="A4" s="15" t="s">
        <v>77</v>
      </c>
      <c r="B4" s="16">
        <f>IF(Lignes_1_1[[#This Row],[Tâche]]="","",IFERROR(INDEX(Taches[[Description]],MATCH(Lignes_1_1[[#This Row],[Tâche]],Taches[[Entrée]],0)),""))</f>
        <v>0</v>
      </c>
      <c r="C4" s="15" t="s">
        <v>27</v>
      </c>
      <c r="D4" s="15"/>
      <c r="E4">
        <v>60</v>
      </c>
      <c r="F4">
        <v>7.4</v>
      </c>
      <c r="H4">
        <v>0</v>
      </c>
      <c r="I4" s="15" t="s">
        <v>57</v>
      </c>
      <c r="J4" s="16">
        <f>IF(Lignes_1_1[[#This Row],[Rôle ou catégorie]]="","",IFERROR(INDEX(Referentiel[[Nature]],MATCH(Lignes_1_1[[#This Row],[Rôle ou catégorie]],Referentiel[[Entrée]],0)),"?"))</f>
        <v>0</v>
      </c>
      <c r="K4" s="16">
        <f>IF(Lignes_1_1[[#This Row],[Rôle ou catégorie]]="","",IFERROR(INDEX(Referentiel[[Code comptable]],MATCH(Lignes_1_1[[#This Row],[Rôle ou catégorie]],Referentiel[[Entrée]],0)),"?"))</f>
        <v>0</v>
      </c>
      <c r="L4" s="16">
        <f>IF(Lignes_1_1[[#This Row],[Rôle ou catégorie]]="","",IFERROR(INDEX(Referentiel[[Service]],MATCH(Lignes_1_1[[#This Row],[Rôle ou catégorie]],Referentiel[[Entrée]],0)),"?")&amp;"")</f>
        <v>0</v>
      </c>
      <c r="M4" s="16">
        <f>IF(Lignes_1_1[[#This Row],[Rôle ou catégorie]]="","",IFERROR(INDEX(Referentiel[[Taux horaire]],MATCH(Lignes_1_1[[#This Row],[Rôle ou catégorie]],Referentiel[[Entrée]],0)),"?"))</f>
        <v>0</v>
      </c>
      <c r="N4" s="17">
        <f>IF(Lignes_1_1[[#This Row],[Rôle ou catégorie]]="","",IF(Lignes_1_1[[#This Row],[Type]]="Main-d’œuvre",Lignes_1_1[[#This Row],[Quantité]]*Lignes_1_1[[#This Row],[Heures]],0))</f>
        <v>0</v>
      </c>
      <c r="O4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4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4" s="18">
        <f>IF(Lignes_1_1[[#This Row],[Rôle ou catégorie]]="","",Lignes_1_1[[#This Row],[Main-d’œuvre]]+Lignes_1_1[[#This Row],[Débours]])</f>
        <v>0</v>
      </c>
      <c r="R4" s="18">
        <v>26640</v>
      </c>
      <c r="S4" t="s">
        <v>158</v>
      </c>
      <c r="T4" s="16">
        <f>IF(Lignes_1_1[[#This Row],[Rôle ou catégorie]]="","",IFERROR(INDEX(Referentiel[[Type de nature]],MATCH(Lignes_1_1[[#This Row],[Rôle ou catégorie]],Referentiel[[Entrée]],0)),"?"))</f>
        <v>0</v>
      </c>
    </row>
    <row r="5" spans="1:20">
      <c r="A5" s="15" t="s">
        <v>84</v>
      </c>
      <c r="B5" s="16">
        <f>IF(Lignes_1_1[[#This Row],[Tâche]]="","",IFERROR(INDEX(Taches[[Description]],MATCH(Lignes_1_1[[#This Row],[Tâche]],Taches[[Entrée]],0)),""))</f>
        <v>0</v>
      </c>
      <c r="C5" s="15" t="s">
        <v>34</v>
      </c>
      <c r="D5" s="15"/>
      <c r="E5">
        <v>15</v>
      </c>
      <c r="F5">
        <v>7.4</v>
      </c>
      <c r="H5">
        <v>0</v>
      </c>
      <c r="I5" s="15" t="s">
        <v>57</v>
      </c>
      <c r="J5" s="16">
        <f>IF(Lignes_1_1[[#This Row],[Rôle ou catégorie]]="","",IFERROR(INDEX(Referentiel[[Nature]],MATCH(Lignes_1_1[[#This Row],[Rôle ou catégorie]],Referentiel[[Entrée]],0)),"?"))</f>
        <v>0</v>
      </c>
      <c r="K5" s="16">
        <f>IF(Lignes_1_1[[#This Row],[Rôle ou catégorie]]="","",IFERROR(INDEX(Referentiel[[Code comptable]],MATCH(Lignes_1_1[[#This Row],[Rôle ou catégorie]],Referentiel[[Entrée]],0)),"?"))</f>
        <v>0</v>
      </c>
      <c r="L5" s="16">
        <f>IF(Lignes_1_1[[#This Row],[Rôle ou catégorie]]="","",IFERROR(INDEX(Referentiel[[Service]],MATCH(Lignes_1_1[[#This Row],[Rôle ou catégorie]],Referentiel[[Entrée]],0)),"?")&amp;"")</f>
        <v>0</v>
      </c>
      <c r="M5" s="16">
        <f>IF(Lignes_1_1[[#This Row],[Rôle ou catégorie]]="","",IFERROR(INDEX(Referentiel[[Taux horaire]],MATCH(Lignes_1_1[[#This Row],[Rôle ou catégorie]],Referentiel[[Entrée]],0)),"?"))</f>
        <v>0</v>
      </c>
      <c r="N5" s="17">
        <f>IF(Lignes_1_1[[#This Row],[Rôle ou catégorie]]="","",IF(Lignes_1_1[[#This Row],[Type]]="Main-d’œuvre",Lignes_1_1[[#This Row],[Quantité]]*Lignes_1_1[[#This Row],[Heures]],0))</f>
        <v>0</v>
      </c>
      <c r="O5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5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5" s="18">
        <f>IF(Lignes_1_1[[#This Row],[Rôle ou catégorie]]="","",Lignes_1_1[[#This Row],[Main-d’œuvre]]+Lignes_1_1[[#This Row],[Débours]])</f>
        <v>0</v>
      </c>
      <c r="R5" s="18">
        <v>6660</v>
      </c>
      <c r="S5" t="s">
        <v>159</v>
      </c>
      <c r="T5" s="16">
        <f>IF(Lignes_1_1[[#This Row],[Rôle ou catégorie]]="","",IFERROR(INDEX(Referentiel[[Type de nature]],MATCH(Lignes_1_1[[#This Row],[Rôle ou catégorie]],Referentiel[[Entrée]],0)),"?"))</f>
        <v>0</v>
      </c>
    </row>
    <row r="6" spans="1:20">
      <c r="A6" s="15" t="s">
        <v>84</v>
      </c>
      <c r="B6" s="16">
        <f>IF(Lignes_1_1[[#This Row],[Tâche]]="","",IFERROR(INDEX(Taches[[Description]],MATCH(Lignes_1_1[[#This Row],[Tâche]],Taches[[Entrée]],0)),""))</f>
        <v>0</v>
      </c>
      <c r="C6" s="15" t="s">
        <v>37</v>
      </c>
      <c r="D6" s="15" t="s">
        <v>160</v>
      </c>
      <c r="E6">
        <v>5</v>
      </c>
      <c r="G6">
        <v>20</v>
      </c>
      <c r="H6">
        <v>30</v>
      </c>
      <c r="I6" s="15" t="s">
        <v>55</v>
      </c>
      <c r="J6" s="16">
        <f>IF(Lignes_1_1[[#This Row],[Rôle ou catégorie]]="","",IFERROR(INDEX(Referentiel[[Nature]],MATCH(Lignes_1_1[[#This Row],[Rôle ou catégorie]],Referentiel[[Entrée]],0)),"?"))</f>
        <v>0</v>
      </c>
      <c r="K6" s="16">
        <f>IF(Lignes_1_1[[#This Row],[Rôle ou catégorie]]="","",IFERROR(INDEX(Referentiel[[Code comptable]],MATCH(Lignes_1_1[[#This Row],[Rôle ou catégorie]],Referentiel[[Entrée]],0)),"?"))</f>
        <v>0</v>
      </c>
      <c r="L6" s="16">
        <f>IF(Lignes_1_1[[#This Row],[Rôle ou catégorie]]="","",IFERROR(INDEX(Referentiel[[Service]],MATCH(Lignes_1_1[[#This Row],[Rôle ou catégorie]],Referentiel[[Entrée]],0)),"?")&amp;"")</f>
        <v>0</v>
      </c>
      <c r="M6" s="16">
        <f>IF(Lignes_1_1[[#This Row],[Rôle ou catégorie]]="","",IFERROR(INDEX(Referentiel[[Taux horaire]],MATCH(Lignes_1_1[[#This Row],[Rôle ou catégorie]],Referentiel[[Entrée]],0)),"?"))</f>
        <v>0</v>
      </c>
      <c r="N6" s="17">
        <f>IF(Lignes_1_1[[#This Row],[Rôle ou catégorie]]="","",IF(Lignes_1_1[[#This Row],[Type]]="Main-d’œuvre",Lignes_1_1[[#This Row],[Quantité]]*Lignes_1_1[[#This Row],[Heures]],0))</f>
        <v>0</v>
      </c>
      <c r="O6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6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6" s="18">
        <f>IF(Lignes_1_1[[#This Row],[Rôle ou catégorie]]="","",Lignes_1_1[[#This Row],[Main-d’œuvre]]+Lignes_1_1[[#This Row],[Débours]])</f>
        <v>0</v>
      </c>
      <c r="R6" s="18">
        <v>100</v>
      </c>
      <c r="S6" t="s">
        <v>161</v>
      </c>
      <c r="T6" s="16">
        <f>IF(Lignes_1_1[[#This Row],[Rôle ou catégorie]]="","",IFERROR(INDEX(Referentiel[[Type de nature]],MATCH(Lignes_1_1[[#This Row],[Rôle ou catégorie]],Referentiel[[Entrée]],0)),"?"))</f>
        <v>0</v>
      </c>
    </row>
    <row r="7" spans="1:20">
      <c r="A7" s="15"/>
      <c r="B7" s="16">
        <f>IF(Lignes_1_1[[#This Row],[Tâche]]="","",IFERROR(INDEX(Taches[[Description]],MATCH(Lignes_1_1[[#This Row],[Tâche]],Taches[[Entrée]],0)),""))</f>
        <v>0</v>
      </c>
      <c r="C7" s="15"/>
      <c r="D7" s="15"/>
      <c r="I7" s="15"/>
      <c r="J7" s="16">
        <f>IF(Lignes_1_1[[#This Row],[Rôle ou catégorie]]="","",IFERROR(INDEX(Referentiel[[Nature]],MATCH(Lignes_1_1[[#This Row],[Rôle ou catégorie]],Referentiel[[Entrée]],0)),"?"))</f>
        <v>0</v>
      </c>
      <c r="K7" s="16">
        <f>IF(Lignes_1_1[[#This Row],[Rôle ou catégorie]]="","",IFERROR(INDEX(Referentiel[[Code comptable]],MATCH(Lignes_1_1[[#This Row],[Rôle ou catégorie]],Referentiel[[Entrée]],0)),"?"))</f>
        <v>0</v>
      </c>
      <c r="L7" s="16">
        <f>IF(Lignes_1_1[[#This Row],[Rôle ou catégorie]]="","",IFERROR(INDEX(Referentiel[[Service]],MATCH(Lignes_1_1[[#This Row],[Rôle ou catégorie]],Referentiel[[Entrée]],0)),"?")&amp;"")</f>
        <v>0</v>
      </c>
      <c r="M7" s="16">
        <f>IF(Lignes_1_1[[#This Row],[Rôle ou catégorie]]="","",IFERROR(INDEX(Referentiel[[Taux horaire]],MATCH(Lignes_1_1[[#This Row],[Rôle ou catégorie]],Referentiel[[Entrée]],0)),"?"))</f>
        <v>0</v>
      </c>
      <c r="N7" s="17">
        <f>IF(Lignes_1_1[[#This Row],[Rôle ou catégorie]]="","",IF(Lignes_1_1[[#This Row],[Type]]="Main-d’œuvre",Lignes_1_1[[#This Row],[Quantité]]*Lignes_1_1[[#This Row],[Heures]],0))</f>
        <v>0</v>
      </c>
      <c r="O7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7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7" s="18">
        <f>IF(Lignes_1_1[[#This Row],[Rôle ou catégorie]]="","",Lignes_1_1[[#This Row],[Main-d’œuvre]]+Lignes_1_1[[#This Row],[Débours]])</f>
        <v>0</v>
      </c>
      <c r="R7" s="18"/>
      <c r="T7" s="16">
        <f>IF(Lignes_1_1[[#This Row],[Rôle ou catégorie]]="","",IFERROR(INDEX(Referentiel[[Type de nature]],MATCH(Lignes_1_1[[#This Row],[Rôle ou catégorie]],Referentiel[[Entrée]],0)),"?"))</f>
        <v>0</v>
      </c>
    </row>
    <row r="8" spans="1:20">
      <c r="A8" s="15"/>
      <c r="B8" s="16">
        <f>IF(Lignes_1_1[[#This Row],[Tâche]]="","",IFERROR(INDEX(Taches[[Description]],MATCH(Lignes_1_1[[#This Row],[Tâche]],Taches[[Entrée]],0)),""))</f>
        <v>0</v>
      </c>
      <c r="C8" s="15"/>
      <c r="D8" s="15"/>
      <c r="I8" s="15"/>
      <c r="J8" s="16">
        <f>IF(Lignes_1_1[[#This Row],[Rôle ou catégorie]]="","",IFERROR(INDEX(Referentiel[[Nature]],MATCH(Lignes_1_1[[#This Row],[Rôle ou catégorie]],Referentiel[[Entrée]],0)),"?"))</f>
        <v>0</v>
      </c>
      <c r="K8" s="16">
        <f>IF(Lignes_1_1[[#This Row],[Rôle ou catégorie]]="","",IFERROR(INDEX(Referentiel[[Code comptable]],MATCH(Lignes_1_1[[#This Row],[Rôle ou catégorie]],Referentiel[[Entrée]],0)),"?"))</f>
        <v>0</v>
      </c>
      <c r="L8" s="16">
        <f>IF(Lignes_1_1[[#This Row],[Rôle ou catégorie]]="","",IFERROR(INDEX(Referentiel[[Service]],MATCH(Lignes_1_1[[#This Row],[Rôle ou catégorie]],Referentiel[[Entrée]],0)),"?")&amp;"")</f>
        <v>0</v>
      </c>
      <c r="M8" s="16">
        <f>IF(Lignes_1_1[[#This Row],[Rôle ou catégorie]]="","",IFERROR(INDEX(Referentiel[[Taux horaire]],MATCH(Lignes_1_1[[#This Row],[Rôle ou catégorie]],Referentiel[[Entrée]],0)),"?"))</f>
        <v>0</v>
      </c>
      <c r="N8" s="17">
        <f>IF(Lignes_1_1[[#This Row],[Rôle ou catégorie]]="","",IF(Lignes_1_1[[#This Row],[Type]]="Main-d’œuvre",Lignes_1_1[[#This Row],[Quantité]]*Lignes_1_1[[#This Row],[Heures]],0))</f>
        <v>0</v>
      </c>
      <c r="O8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8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8" s="18">
        <f>IF(Lignes_1_1[[#This Row],[Rôle ou catégorie]]="","",Lignes_1_1[[#This Row],[Main-d’œuvre]]+Lignes_1_1[[#This Row],[Débours]])</f>
        <v>0</v>
      </c>
      <c r="R8" s="18"/>
      <c r="T8" s="16">
        <f>IF(Lignes_1_1[[#This Row],[Rôle ou catégorie]]="","",IFERROR(INDEX(Referentiel[[Type de nature]],MATCH(Lignes_1_1[[#This Row],[Rôle ou catégorie]],Referentiel[[Entrée]],0)),"?"))</f>
        <v>0</v>
      </c>
    </row>
    <row r="9" spans="1:20">
      <c r="A9" s="15"/>
      <c r="B9" s="16">
        <f>IF(Lignes_1_1[[#This Row],[Tâche]]="","",IFERROR(INDEX(Taches[[Description]],MATCH(Lignes_1_1[[#This Row],[Tâche]],Taches[[Entrée]],0)),""))</f>
        <v>0</v>
      </c>
      <c r="C9" s="15"/>
      <c r="D9" s="15"/>
      <c r="I9" s="15"/>
      <c r="J9" s="16">
        <f>IF(Lignes_1_1[[#This Row],[Rôle ou catégorie]]="","",IFERROR(INDEX(Referentiel[[Nature]],MATCH(Lignes_1_1[[#This Row],[Rôle ou catégorie]],Referentiel[[Entrée]],0)),"?"))</f>
        <v>0</v>
      </c>
      <c r="K9" s="16">
        <f>IF(Lignes_1_1[[#This Row],[Rôle ou catégorie]]="","",IFERROR(INDEX(Referentiel[[Code comptable]],MATCH(Lignes_1_1[[#This Row],[Rôle ou catégorie]],Referentiel[[Entrée]],0)),"?"))</f>
        <v>0</v>
      </c>
      <c r="L9" s="16">
        <f>IF(Lignes_1_1[[#This Row],[Rôle ou catégorie]]="","",IFERROR(INDEX(Referentiel[[Service]],MATCH(Lignes_1_1[[#This Row],[Rôle ou catégorie]],Referentiel[[Entrée]],0)),"?")&amp;"")</f>
        <v>0</v>
      </c>
      <c r="M9" s="16">
        <f>IF(Lignes_1_1[[#This Row],[Rôle ou catégorie]]="","",IFERROR(INDEX(Referentiel[[Taux horaire]],MATCH(Lignes_1_1[[#This Row],[Rôle ou catégorie]],Referentiel[[Entrée]],0)),"?"))</f>
        <v>0</v>
      </c>
      <c r="N9" s="17">
        <f>IF(Lignes_1_1[[#This Row],[Rôle ou catégorie]]="","",IF(Lignes_1_1[[#This Row],[Type]]="Main-d’œuvre",Lignes_1_1[[#This Row],[Quantité]]*Lignes_1_1[[#This Row],[Heures]],0))</f>
        <v>0</v>
      </c>
      <c r="O9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9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9" s="18">
        <f>IF(Lignes_1_1[[#This Row],[Rôle ou catégorie]]="","",Lignes_1_1[[#This Row],[Main-d’œuvre]]+Lignes_1_1[[#This Row],[Débours]])</f>
        <v>0</v>
      </c>
      <c r="R9" s="18"/>
      <c r="T9" s="16">
        <f>IF(Lignes_1_1[[#This Row],[Rôle ou catégorie]]="","",IFERROR(INDEX(Referentiel[[Type de nature]],MATCH(Lignes_1_1[[#This Row],[Rôle ou catégorie]],Referentiel[[Entrée]],0)),"?"))</f>
        <v>0</v>
      </c>
    </row>
    <row r="10" spans="1:20">
      <c r="A10" s="15"/>
      <c r="B10" s="16">
        <f>IF(Lignes_1_1[[#This Row],[Tâche]]="","",IFERROR(INDEX(Taches[[Description]],MATCH(Lignes_1_1[[#This Row],[Tâche]],Taches[[Entrée]],0)),""))</f>
        <v>0</v>
      </c>
      <c r="C10" s="15"/>
      <c r="D10" s="15"/>
      <c r="I10" s="15"/>
      <c r="J10" s="16">
        <f>IF(Lignes_1_1[[#This Row],[Rôle ou catégorie]]="","",IFERROR(INDEX(Referentiel[[Nature]],MATCH(Lignes_1_1[[#This Row],[Rôle ou catégorie]],Referentiel[[Entrée]],0)),"?"))</f>
        <v>0</v>
      </c>
      <c r="K10" s="16">
        <f>IF(Lignes_1_1[[#This Row],[Rôle ou catégorie]]="","",IFERROR(INDEX(Referentiel[[Code comptable]],MATCH(Lignes_1_1[[#This Row],[Rôle ou catégorie]],Referentiel[[Entrée]],0)),"?"))</f>
        <v>0</v>
      </c>
      <c r="L10" s="16">
        <f>IF(Lignes_1_1[[#This Row],[Rôle ou catégorie]]="","",IFERROR(INDEX(Referentiel[[Service]],MATCH(Lignes_1_1[[#This Row],[Rôle ou catégorie]],Referentiel[[Entrée]],0)),"?")&amp;"")</f>
        <v>0</v>
      </c>
      <c r="M10" s="16">
        <f>IF(Lignes_1_1[[#This Row],[Rôle ou catégorie]]="","",IFERROR(INDEX(Referentiel[[Taux horaire]],MATCH(Lignes_1_1[[#This Row],[Rôle ou catégorie]],Referentiel[[Entrée]],0)),"?"))</f>
        <v>0</v>
      </c>
      <c r="N10" s="17">
        <f>IF(Lignes_1_1[[#This Row],[Rôle ou catégorie]]="","",IF(Lignes_1_1[[#This Row],[Type]]="Main-d’œuvre",Lignes_1_1[[#This Row],[Quantité]]*Lignes_1_1[[#This Row],[Heures]],0))</f>
        <v>0</v>
      </c>
      <c r="O10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0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0" s="18">
        <f>IF(Lignes_1_1[[#This Row],[Rôle ou catégorie]]="","",Lignes_1_1[[#This Row],[Main-d’œuvre]]+Lignes_1_1[[#This Row],[Débours]])</f>
        <v>0</v>
      </c>
      <c r="R10" s="18"/>
      <c r="T10" s="16">
        <f>IF(Lignes_1_1[[#This Row],[Rôle ou catégorie]]="","",IFERROR(INDEX(Referentiel[[Type de nature]],MATCH(Lignes_1_1[[#This Row],[Rôle ou catégorie]],Referentiel[[Entrée]],0)),"?"))</f>
        <v>0</v>
      </c>
    </row>
    <row r="11" spans="1:20">
      <c r="A11" s="15"/>
      <c r="B11" s="16">
        <f>IF(Lignes_1_1[[#This Row],[Tâche]]="","",IFERROR(INDEX(Taches[[Description]],MATCH(Lignes_1_1[[#This Row],[Tâche]],Taches[[Entrée]],0)),""))</f>
        <v>0</v>
      </c>
      <c r="C11" s="15"/>
      <c r="D11" s="15"/>
      <c r="I11" s="15"/>
      <c r="J11" s="16">
        <f>IF(Lignes_1_1[[#This Row],[Rôle ou catégorie]]="","",IFERROR(INDEX(Referentiel[[Nature]],MATCH(Lignes_1_1[[#This Row],[Rôle ou catégorie]],Referentiel[[Entrée]],0)),"?"))</f>
        <v>0</v>
      </c>
      <c r="K11" s="16">
        <f>IF(Lignes_1_1[[#This Row],[Rôle ou catégorie]]="","",IFERROR(INDEX(Referentiel[[Code comptable]],MATCH(Lignes_1_1[[#This Row],[Rôle ou catégorie]],Referentiel[[Entrée]],0)),"?"))</f>
        <v>0</v>
      </c>
      <c r="L11" s="16">
        <f>IF(Lignes_1_1[[#This Row],[Rôle ou catégorie]]="","",IFERROR(INDEX(Referentiel[[Service]],MATCH(Lignes_1_1[[#This Row],[Rôle ou catégorie]],Referentiel[[Entrée]],0)),"?")&amp;"")</f>
        <v>0</v>
      </c>
      <c r="M11" s="16">
        <f>IF(Lignes_1_1[[#This Row],[Rôle ou catégorie]]="","",IFERROR(INDEX(Referentiel[[Taux horaire]],MATCH(Lignes_1_1[[#This Row],[Rôle ou catégorie]],Referentiel[[Entrée]],0)),"?"))</f>
        <v>0</v>
      </c>
      <c r="N11" s="17">
        <f>IF(Lignes_1_1[[#This Row],[Rôle ou catégorie]]="","",IF(Lignes_1_1[[#This Row],[Type]]="Main-d’œuvre",Lignes_1_1[[#This Row],[Quantité]]*Lignes_1_1[[#This Row],[Heures]],0))</f>
        <v>0</v>
      </c>
      <c r="O11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1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1" s="18">
        <f>IF(Lignes_1_1[[#This Row],[Rôle ou catégorie]]="","",Lignes_1_1[[#This Row],[Main-d’œuvre]]+Lignes_1_1[[#This Row],[Débours]])</f>
        <v>0</v>
      </c>
      <c r="R11" s="18"/>
      <c r="T11" s="16">
        <f>IF(Lignes_1_1[[#This Row],[Rôle ou catégorie]]="","",IFERROR(INDEX(Referentiel[[Type de nature]],MATCH(Lignes_1_1[[#This Row],[Rôle ou catégorie]],Referentiel[[Entrée]],0)),"?"))</f>
        <v>0</v>
      </c>
    </row>
    <row r="12" spans="1:20">
      <c r="A12" s="15"/>
      <c r="B12" s="16">
        <f>IF(Lignes_1_1[[#This Row],[Tâche]]="","",IFERROR(INDEX(Taches[[Description]],MATCH(Lignes_1_1[[#This Row],[Tâche]],Taches[[Entrée]],0)),""))</f>
        <v>0</v>
      </c>
      <c r="C12" s="15"/>
      <c r="D12" s="15"/>
      <c r="I12" s="15"/>
      <c r="J12" s="16">
        <f>IF(Lignes_1_1[[#This Row],[Rôle ou catégorie]]="","",IFERROR(INDEX(Referentiel[[Nature]],MATCH(Lignes_1_1[[#This Row],[Rôle ou catégorie]],Referentiel[[Entrée]],0)),"?"))</f>
        <v>0</v>
      </c>
      <c r="K12" s="16">
        <f>IF(Lignes_1_1[[#This Row],[Rôle ou catégorie]]="","",IFERROR(INDEX(Referentiel[[Code comptable]],MATCH(Lignes_1_1[[#This Row],[Rôle ou catégorie]],Referentiel[[Entrée]],0)),"?"))</f>
        <v>0</v>
      </c>
      <c r="L12" s="16">
        <f>IF(Lignes_1_1[[#This Row],[Rôle ou catégorie]]="","",IFERROR(INDEX(Referentiel[[Service]],MATCH(Lignes_1_1[[#This Row],[Rôle ou catégorie]],Referentiel[[Entrée]],0)),"?")&amp;"")</f>
        <v>0</v>
      </c>
      <c r="M12" s="16">
        <f>IF(Lignes_1_1[[#This Row],[Rôle ou catégorie]]="","",IFERROR(INDEX(Referentiel[[Taux horaire]],MATCH(Lignes_1_1[[#This Row],[Rôle ou catégorie]],Referentiel[[Entrée]],0)),"?"))</f>
        <v>0</v>
      </c>
      <c r="N12" s="17">
        <f>IF(Lignes_1_1[[#This Row],[Rôle ou catégorie]]="","",IF(Lignes_1_1[[#This Row],[Type]]="Main-d’œuvre",Lignes_1_1[[#This Row],[Quantité]]*Lignes_1_1[[#This Row],[Heures]],0))</f>
        <v>0</v>
      </c>
      <c r="O12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2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2" s="18">
        <f>IF(Lignes_1_1[[#This Row],[Rôle ou catégorie]]="","",Lignes_1_1[[#This Row],[Main-d’œuvre]]+Lignes_1_1[[#This Row],[Débours]])</f>
        <v>0</v>
      </c>
      <c r="R12" s="18"/>
      <c r="T12" s="16">
        <f>IF(Lignes_1_1[[#This Row],[Rôle ou catégorie]]="","",IFERROR(INDEX(Referentiel[[Type de nature]],MATCH(Lignes_1_1[[#This Row],[Rôle ou catégorie]],Referentiel[[Entrée]],0)),"?"))</f>
        <v>0</v>
      </c>
    </row>
    <row r="13" spans="1:20">
      <c r="A13" s="15"/>
      <c r="B13" s="16">
        <f>IF(Lignes_1_1[[#This Row],[Tâche]]="","",IFERROR(INDEX(Taches[[Description]],MATCH(Lignes_1_1[[#This Row],[Tâche]],Taches[[Entrée]],0)),""))</f>
        <v>0</v>
      </c>
      <c r="C13" s="15"/>
      <c r="D13" s="15"/>
      <c r="I13" s="15"/>
      <c r="J13" s="16">
        <f>IF(Lignes_1_1[[#This Row],[Rôle ou catégorie]]="","",IFERROR(INDEX(Referentiel[[Nature]],MATCH(Lignes_1_1[[#This Row],[Rôle ou catégorie]],Referentiel[[Entrée]],0)),"?"))</f>
        <v>0</v>
      </c>
      <c r="K13" s="16">
        <f>IF(Lignes_1_1[[#This Row],[Rôle ou catégorie]]="","",IFERROR(INDEX(Referentiel[[Code comptable]],MATCH(Lignes_1_1[[#This Row],[Rôle ou catégorie]],Referentiel[[Entrée]],0)),"?"))</f>
        <v>0</v>
      </c>
      <c r="L13" s="16">
        <f>IF(Lignes_1_1[[#This Row],[Rôle ou catégorie]]="","",IFERROR(INDEX(Referentiel[[Service]],MATCH(Lignes_1_1[[#This Row],[Rôle ou catégorie]],Referentiel[[Entrée]],0)),"?")&amp;"")</f>
        <v>0</v>
      </c>
      <c r="M13" s="16">
        <f>IF(Lignes_1_1[[#This Row],[Rôle ou catégorie]]="","",IFERROR(INDEX(Referentiel[[Taux horaire]],MATCH(Lignes_1_1[[#This Row],[Rôle ou catégorie]],Referentiel[[Entrée]],0)),"?"))</f>
        <v>0</v>
      </c>
      <c r="N13" s="17">
        <f>IF(Lignes_1_1[[#This Row],[Rôle ou catégorie]]="","",IF(Lignes_1_1[[#This Row],[Type]]="Main-d’œuvre",Lignes_1_1[[#This Row],[Quantité]]*Lignes_1_1[[#This Row],[Heures]],0))</f>
        <v>0</v>
      </c>
      <c r="O13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3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3" s="18">
        <f>IF(Lignes_1_1[[#This Row],[Rôle ou catégorie]]="","",Lignes_1_1[[#This Row],[Main-d’œuvre]]+Lignes_1_1[[#This Row],[Débours]])</f>
        <v>0</v>
      </c>
      <c r="R13" s="18"/>
      <c r="T13" s="16">
        <f>IF(Lignes_1_1[[#This Row],[Rôle ou catégorie]]="","",IFERROR(INDEX(Referentiel[[Type de nature]],MATCH(Lignes_1_1[[#This Row],[Rôle ou catégorie]],Referentiel[[Entrée]],0)),"?"))</f>
        <v>0</v>
      </c>
    </row>
    <row r="14" spans="1:20">
      <c r="A14" s="15"/>
      <c r="B14" s="16">
        <f>IF(Lignes_1_1[[#This Row],[Tâche]]="","",IFERROR(INDEX(Taches[[Description]],MATCH(Lignes_1_1[[#This Row],[Tâche]],Taches[[Entrée]],0)),""))</f>
        <v>0</v>
      </c>
      <c r="C14" s="15"/>
      <c r="D14" s="15"/>
      <c r="I14" s="15"/>
      <c r="J14" s="16">
        <f>IF(Lignes_1_1[[#This Row],[Rôle ou catégorie]]="","",IFERROR(INDEX(Referentiel[[Nature]],MATCH(Lignes_1_1[[#This Row],[Rôle ou catégorie]],Referentiel[[Entrée]],0)),"?"))</f>
        <v>0</v>
      </c>
      <c r="K14" s="16">
        <f>IF(Lignes_1_1[[#This Row],[Rôle ou catégorie]]="","",IFERROR(INDEX(Referentiel[[Code comptable]],MATCH(Lignes_1_1[[#This Row],[Rôle ou catégorie]],Referentiel[[Entrée]],0)),"?"))</f>
        <v>0</v>
      </c>
      <c r="L14" s="16">
        <f>IF(Lignes_1_1[[#This Row],[Rôle ou catégorie]]="","",IFERROR(INDEX(Referentiel[[Service]],MATCH(Lignes_1_1[[#This Row],[Rôle ou catégorie]],Referentiel[[Entrée]],0)),"?")&amp;"")</f>
        <v>0</v>
      </c>
      <c r="M14" s="16">
        <f>IF(Lignes_1_1[[#This Row],[Rôle ou catégorie]]="","",IFERROR(INDEX(Referentiel[[Taux horaire]],MATCH(Lignes_1_1[[#This Row],[Rôle ou catégorie]],Referentiel[[Entrée]],0)),"?"))</f>
        <v>0</v>
      </c>
      <c r="N14" s="17">
        <f>IF(Lignes_1_1[[#This Row],[Rôle ou catégorie]]="","",IF(Lignes_1_1[[#This Row],[Type]]="Main-d’œuvre",Lignes_1_1[[#This Row],[Quantité]]*Lignes_1_1[[#This Row],[Heures]],0))</f>
        <v>0</v>
      </c>
      <c r="O14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4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4" s="18">
        <f>IF(Lignes_1_1[[#This Row],[Rôle ou catégorie]]="","",Lignes_1_1[[#This Row],[Main-d’œuvre]]+Lignes_1_1[[#This Row],[Débours]])</f>
        <v>0</v>
      </c>
      <c r="R14" s="18"/>
      <c r="T14" s="16">
        <f>IF(Lignes_1_1[[#This Row],[Rôle ou catégorie]]="","",IFERROR(INDEX(Referentiel[[Type de nature]],MATCH(Lignes_1_1[[#This Row],[Rôle ou catégorie]],Referentiel[[Entrée]],0)),"?"))</f>
        <v>0</v>
      </c>
    </row>
    <row r="15" spans="1:20">
      <c r="A15" s="15"/>
      <c r="B15" s="16">
        <f>IF(Lignes_1_1[[#This Row],[Tâche]]="","",IFERROR(INDEX(Taches[[Description]],MATCH(Lignes_1_1[[#This Row],[Tâche]],Taches[[Entrée]],0)),""))</f>
        <v>0</v>
      </c>
      <c r="C15" s="15"/>
      <c r="D15" s="15"/>
      <c r="I15" s="15"/>
      <c r="J15" s="16">
        <f>IF(Lignes_1_1[[#This Row],[Rôle ou catégorie]]="","",IFERROR(INDEX(Referentiel[[Nature]],MATCH(Lignes_1_1[[#This Row],[Rôle ou catégorie]],Referentiel[[Entrée]],0)),"?"))</f>
        <v>0</v>
      </c>
      <c r="K15" s="16">
        <f>IF(Lignes_1_1[[#This Row],[Rôle ou catégorie]]="","",IFERROR(INDEX(Referentiel[[Code comptable]],MATCH(Lignes_1_1[[#This Row],[Rôle ou catégorie]],Referentiel[[Entrée]],0)),"?"))</f>
        <v>0</v>
      </c>
      <c r="L15" s="16">
        <f>IF(Lignes_1_1[[#This Row],[Rôle ou catégorie]]="","",IFERROR(INDEX(Referentiel[[Service]],MATCH(Lignes_1_1[[#This Row],[Rôle ou catégorie]],Referentiel[[Entrée]],0)),"?")&amp;"")</f>
        <v>0</v>
      </c>
      <c r="M15" s="16">
        <f>IF(Lignes_1_1[[#This Row],[Rôle ou catégorie]]="","",IFERROR(INDEX(Referentiel[[Taux horaire]],MATCH(Lignes_1_1[[#This Row],[Rôle ou catégorie]],Referentiel[[Entrée]],0)),"?"))</f>
        <v>0</v>
      </c>
      <c r="N15" s="17">
        <f>IF(Lignes_1_1[[#This Row],[Rôle ou catégorie]]="","",IF(Lignes_1_1[[#This Row],[Type]]="Main-d’œuvre",Lignes_1_1[[#This Row],[Quantité]]*Lignes_1_1[[#This Row],[Heures]],0))</f>
        <v>0</v>
      </c>
      <c r="O15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5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5" s="18">
        <f>IF(Lignes_1_1[[#This Row],[Rôle ou catégorie]]="","",Lignes_1_1[[#This Row],[Main-d’œuvre]]+Lignes_1_1[[#This Row],[Débours]])</f>
        <v>0</v>
      </c>
      <c r="R15" s="18"/>
      <c r="T15" s="16">
        <f>IF(Lignes_1_1[[#This Row],[Rôle ou catégorie]]="","",IFERROR(INDEX(Referentiel[[Type de nature]],MATCH(Lignes_1_1[[#This Row],[Rôle ou catégorie]],Referentiel[[Entrée]],0)),"?"))</f>
        <v>0</v>
      </c>
    </row>
    <row r="16" spans="1:20">
      <c r="A16" s="15"/>
      <c r="B16" s="16">
        <f>IF(Lignes_1_1[[#This Row],[Tâche]]="","",IFERROR(INDEX(Taches[[Description]],MATCH(Lignes_1_1[[#This Row],[Tâche]],Taches[[Entrée]],0)),""))</f>
        <v>0</v>
      </c>
      <c r="C16" s="15"/>
      <c r="D16" s="15"/>
      <c r="I16" s="15"/>
      <c r="J16" s="16">
        <f>IF(Lignes_1_1[[#This Row],[Rôle ou catégorie]]="","",IFERROR(INDEX(Referentiel[[Nature]],MATCH(Lignes_1_1[[#This Row],[Rôle ou catégorie]],Referentiel[[Entrée]],0)),"?"))</f>
        <v>0</v>
      </c>
      <c r="K16" s="16">
        <f>IF(Lignes_1_1[[#This Row],[Rôle ou catégorie]]="","",IFERROR(INDEX(Referentiel[[Code comptable]],MATCH(Lignes_1_1[[#This Row],[Rôle ou catégorie]],Referentiel[[Entrée]],0)),"?"))</f>
        <v>0</v>
      </c>
      <c r="L16" s="16">
        <f>IF(Lignes_1_1[[#This Row],[Rôle ou catégorie]]="","",IFERROR(INDEX(Referentiel[[Service]],MATCH(Lignes_1_1[[#This Row],[Rôle ou catégorie]],Referentiel[[Entrée]],0)),"?")&amp;"")</f>
        <v>0</v>
      </c>
      <c r="M16" s="16">
        <f>IF(Lignes_1_1[[#This Row],[Rôle ou catégorie]]="","",IFERROR(INDEX(Referentiel[[Taux horaire]],MATCH(Lignes_1_1[[#This Row],[Rôle ou catégorie]],Referentiel[[Entrée]],0)),"?"))</f>
        <v>0</v>
      </c>
      <c r="N16" s="17">
        <f>IF(Lignes_1_1[[#This Row],[Rôle ou catégorie]]="","",IF(Lignes_1_1[[#This Row],[Type]]="Main-d’œuvre",Lignes_1_1[[#This Row],[Quantité]]*Lignes_1_1[[#This Row],[Heures]],0))</f>
        <v>0</v>
      </c>
      <c r="O16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6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6" s="18">
        <f>IF(Lignes_1_1[[#This Row],[Rôle ou catégorie]]="","",Lignes_1_1[[#This Row],[Main-d’œuvre]]+Lignes_1_1[[#This Row],[Débours]])</f>
        <v>0</v>
      </c>
      <c r="R16" s="18"/>
      <c r="T16" s="16">
        <f>IF(Lignes_1_1[[#This Row],[Rôle ou catégorie]]="","",IFERROR(INDEX(Referentiel[[Type de nature]],MATCH(Lignes_1_1[[#This Row],[Rôle ou catégorie]],Referentiel[[Entrée]],0)),"?"))</f>
        <v>0</v>
      </c>
    </row>
    <row r="17" spans="1:20">
      <c r="A17" s="15"/>
      <c r="B17" s="16">
        <f>IF(Lignes_1_1[[#This Row],[Tâche]]="","",IFERROR(INDEX(Taches[[Description]],MATCH(Lignes_1_1[[#This Row],[Tâche]],Taches[[Entrée]],0)),""))</f>
        <v>0</v>
      </c>
      <c r="C17" s="15"/>
      <c r="D17" s="15"/>
      <c r="I17" s="15"/>
      <c r="J17" s="16">
        <f>IF(Lignes_1_1[[#This Row],[Rôle ou catégorie]]="","",IFERROR(INDEX(Referentiel[[Nature]],MATCH(Lignes_1_1[[#This Row],[Rôle ou catégorie]],Referentiel[[Entrée]],0)),"?"))</f>
        <v>0</v>
      </c>
      <c r="K17" s="16">
        <f>IF(Lignes_1_1[[#This Row],[Rôle ou catégorie]]="","",IFERROR(INDEX(Referentiel[[Code comptable]],MATCH(Lignes_1_1[[#This Row],[Rôle ou catégorie]],Referentiel[[Entrée]],0)),"?"))</f>
        <v>0</v>
      </c>
      <c r="L17" s="16">
        <f>IF(Lignes_1_1[[#This Row],[Rôle ou catégorie]]="","",IFERROR(INDEX(Referentiel[[Service]],MATCH(Lignes_1_1[[#This Row],[Rôle ou catégorie]],Referentiel[[Entrée]],0)),"?")&amp;"")</f>
        <v>0</v>
      </c>
      <c r="M17" s="16">
        <f>IF(Lignes_1_1[[#This Row],[Rôle ou catégorie]]="","",IFERROR(INDEX(Referentiel[[Taux horaire]],MATCH(Lignes_1_1[[#This Row],[Rôle ou catégorie]],Referentiel[[Entrée]],0)),"?"))</f>
        <v>0</v>
      </c>
      <c r="N17" s="17">
        <f>IF(Lignes_1_1[[#This Row],[Rôle ou catégorie]]="","",IF(Lignes_1_1[[#This Row],[Type]]="Main-d’œuvre",Lignes_1_1[[#This Row],[Quantité]]*Lignes_1_1[[#This Row],[Heures]],0))</f>
        <v>0</v>
      </c>
      <c r="O17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7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7" s="18">
        <f>IF(Lignes_1_1[[#This Row],[Rôle ou catégorie]]="","",Lignes_1_1[[#This Row],[Main-d’œuvre]]+Lignes_1_1[[#This Row],[Débours]])</f>
        <v>0</v>
      </c>
      <c r="R17" s="18"/>
      <c r="T17" s="16">
        <f>IF(Lignes_1_1[[#This Row],[Rôle ou catégorie]]="","",IFERROR(INDEX(Referentiel[[Type de nature]],MATCH(Lignes_1_1[[#This Row],[Rôle ou catégorie]],Referentiel[[Entrée]],0)),"?"))</f>
        <v>0</v>
      </c>
    </row>
    <row r="18" spans="1:20">
      <c r="A18" s="15"/>
      <c r="B18" s="16">
        <f>IF(Lignes_1_1[[#This Row],[Tâche]]="","",IFERROR(INDEX(Taches[[Description]],MATCH(Lignes_1_1[[#This Row],[Tâche]],Taches[[Entrée]],0)),""))</f>
        <v>0</v>
      </c>
      <c r="C18" s="15"/>
      <c r="D18" s="15"/>
      <c r="I18" s="15"/>
      <c r="J18" s="16">
        <f>IF(Lignes_1_1[[#This Row],[Rôle ou catégorie]]="","",IFERROR(INDEX(Referentiel[[Nature]],MATCH(Lignes_1_1[[#This Row],[Rôle ou catégorie]],Referentiel[[Entrée]],0)),"?"))</f>
        <v>0</v>
      </c>
      <c r="K18" s="16">
        <f>IF(Lignes_1_1[[#This Row],[Rôle ou catégorie]]="","",IFERROR(INDEX(Referentiel[[Code comptable]],MATCH(Lignes_1_1[[#This Row],[Rôle ou catégorie]],Referentiel[[Entrée]],0)),"?"))</f>
        <v>0</v>
      </c>
      <c r="L18" s="16">
        <f>IF(Lignes_1_1[[#This Row],[Rôle ou catégorie]]="","",IFERROR(INDEX(Referentiel[[Service]],MATCH(Lignes_1_1[[#This Row],[Rôle ou catégorie]],Referentiel[[Entrée]],0)),"?")&amp;"")</f>
        <v>0</v>
      </c>
      <c r="M18" s="16">
        <f>IF(Lignes_1_1[[#This Row],[Rôle ou catégorie]]="","",IFERROR(INDEX(Referentiel[[Taux horaire]],MATCH(Lignes_1_1[[#This Row],[Rôle ou catégorie]],Referentiel[[Entrée]],0)),"?"))</f>
        <v>0</v>
      </c>
      <c r="N18" s="17">
        <f>IF(Lignes_1_1[[#This Row],[Rôle ou catégorie]]="","",IF(Lignes_1_1[[#This Row],[Type]]="Main-d’œuvre",Lignes_1_1[[#This Row],[Quantité]]*Lignes_1_1[[#This Row],[Heures]],0))</f>
        <v>0</v>
      </c>
      <c r="O18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8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8" s="18">
        <f>IF(Lignes_1_1[[#This Row],[Rôle ou catégorie]]="","",Lignes_1_1[[#This Row],[Main-d’œuvre]]+Lignes_1_1[[#This Row],[Débours]])</f>
        <v>0</v>
      </c>
      <c r="R18" s="18"/>
      <c r="T18" s="16">
        <f>IF(Lignes_1_1[[#This Row],[Rôle ou catégorie]]="","",IFERROR(INDEX(Referentiel[[Type de nature]],MATCH(Lignes_1_1[[#This Row],[Rôle ou catégorie]],Referentiel[[Entrée]],0)),"?"))</f>
        <v>0</v>
      </c>
    </row>
    <row r="19" spans="1:20">
      <c r="A19" s="15"/>
      <c r="B19" s="16">
        <f>IF(Lignes_1_1[[#This Row],[Tâche]]="","",IFERROR(INDEX(Taches[[Description]],MATCH(Lignes_1_1[[#This Row],[Tâche]],Taches[[Entrée]],0)),""))</f>
        <v>0</v>
      </c>
      <c r="C19" s="15"/>
      <c r="D19" s="15"/>
      <c r="I19" s="15"/>
      <c r="J19" s="16">
        <f>IF(Lignes_1_1[[#This Row],[Rôle ou catégorie]]="","",IFERROR(INDEX(Referentiel[[Nature]],MATCH(Lignes_1_1[[#This Row],[Rôle ou catégorie]],Referentiel[[Entrée]],0)),"?"))</f>
        <v>0</v>
      </c>
      <c r="K19" s="16">
        <f>IF(Lignes_1_1[[#This Row],[Rôle ou catégorie]]="","",IFERROR(INDEX(Referentiel[[Code comptable]],MATCH(Lignes_1_1[[#This Row],[Rôle ou catégorie]],Referentiel[[Entrée]],0)),"?"))</f>
        <v>0</v>
      </c>
      <c r="L19" s="16">
        <f>IF(Lignes_1_1[[#This Row],[Rôle ou catégorie]]="","",IFERROR(INDEX(Referentiel[[Service]],MATCH(Lignes_1_1[[#This Row],[Rôle ou catégorie]],Referentiel[[Entrée]],0)),"?")&amp;"")</f>
        <v>0</v>
      </c>
      <c r="M19" s="16">
        <f>IF(Lignes_1_1[[#This Row],[Rôle ou catégorie]]="","",IFERROR(INDEX(Referentiel[[Taux horaire]],MATCH(Lignes_1_1[[#This Row],[Rôle ou catégorie]],Referentiel[[Entrée]],0)),"?"))</f>
        <v>0</v>
      </c>
      <c r="N19" s="17">
        <f>IF(Lignes_1_1[[#This Row],[Rôle ou catégorie]]="","",IF(Lignes_1_1[[#This Row],[Type]]="Main-d’œuvre",Lignes_1_1[[#This Row],[Quantité]]*Lignes_1_1[[#This Row],[Heures]],0))</f>
        <v>0</v>
      </c>
      <c r="O19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19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19" s="18">
        <f>IF(Lignes_1_1[[#This Row],[Rôle ou catégorie]]="","",Lignes_1_1[[#This Row],[Main-d’œuvre]]+Lignes_1_1[[#This Row],[Débours]])</f>
        <v>0</v>
      </c>
      <c r="R19" s="18"/>
      <c r="T19" s="16">
        <f>IF(Lignes_1_1[[#This Row],[Rôle ou catégorie]]="","",IFERROR(INDEX(Referentiel[[Type de nature]],MATCH(Lignes_1_1[[#This Row],[Rôle ou catégorie]],Referentiel[[Entrée]],0)),"?"))</f>
        <v>0</v>
      </c>
    </row>
    <row r="20" spans="1:20">
      <c r="A20" s="15"/>
      <c r="B20" s="16">
        <f>IF(Lignes_1_1[[#This Row],[Tâche]]="","",IFERROR(INDEX(Taches[[Description]],MATCH(Lignes_1_1[[#This Row],[Tâche]],Taches[[Entrée]],0)),""))</f>
        <v>0</v>
      </c>
      <c r="C20" s="15"/>
      <c r="D20" s="15"/>
      <c r="I20" s="15"/>
      <c r="J20" s="16">
        <f>IF(Lignes_1_1[[#This Row],[Rôle ou catégorie]]="","",IFERROR(INDEX(Referentiel[[Nature]],MATCH(Lignes_1_1[[#This Row],[Rôle ou catégorie]],Referentiel[[Entrée]],0)),"?"))</f>
        <v>0</v>
      </c>
      <c r="K20" s="16">
        <f>IF(Lignes_1_1[[#This Row],[Rôle ou catégorie]]="","",IFERROR(INDEX(Referentiel[[Code comptable]],MATCH(Lignes_1_1[[#This Row],[Rôle ou catégorie]],Referentiel[[Entrée]],0)),"?"))</f>
        <v>0</v>
      </c>
      <c r="L20" s="16">
        <f>IF(Lignes_1_1[[#This Row],[Rôle ou catégorie]]="","",IFERROR(INDEX(Referentiel[[Service]],MATCH(Lignes_1_1[[#This Row],[Rôle ou catégorie]],Referentiel[[Entrée]],0)),"?")&amp;"")</f>
        <v>0</v>
      </c>
      <c r="M20" s="16">
        <f>IF(Lignes_1_1[[#This Row],[Rôle ou catégorie]]="","",IFERROR(INDEX(Referentiel[[Taux horaire]],MATCH(Lignes_1_1[[#This Row],[Rôle ou catégorie]],Referentiel[[Entrée]],0)),"?"))</f>
        <v>0</v>
      </c>
      <c r="N20" s="17">
        <f>IF(Lignes_1_1[[#This Row],[Rôle ou catégorie]]="","",IF(Lignes_1_1[[#This Row],[Type]]="Main-d’œuvre",Lignes_1_1[[#This Row],[Quantité]]*Lignes_1_1[[#This Row],[Heures]],0))</f>
        <v>0</v>
      </c>
      <c r="O20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0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0" s="18">
        <f>IF(Lignes_1_1[[#This Row],[Rôle ou catégorie]]="","",Lignes_1_1[[#This Row],[Main-d’œuvre]]+Lignes_1_1[[#This Row],[Débours]])</f>
        <v>0</v>
      </c>
      <c r="R20" s="18"/>
      <c r="T20" s="16">
        <f>IF(Lignes_1_1[[#This Row],[Rôle ou catégorie]]="","",IFERROR(INDEX(Referentiel[[Type de nature]],MATCH(Lignes_1_1[[#This Row],[Rôle ou catégorie]],Referentiel[[Entrée]],0)),"?"))</f>
        <v>0</v>
      </c>
    </row>
    <row r="21" spans="1:20">
      <c r="A21" s="15"/>
      <c r="B21" s="16">
        <f>IF(Lignes_1_1[[#This Row],[Tâche]]="","",IFERROR(INDEX(Taches[[Description]],MATCH(Lignes_1_1[[#This Row],[Tâche]],Taches[[Entrée]],0)),""))</f>
        <v>0</v>
      </c>
      <c r="C21" s="15"/>
      <c r="D21" s="15"/>
      <c r="I21" s="15"/>
      <c r="J21" s="16">
        <f>IF(Lignes_1_1[[#This Row],[Rôle ou catégorie]]="","",IFERROR(INDEX(Referentiel[[Nature]],MATCH(Lignes_1_1[[#This Row],[Rôle ou catégorie]],Referentiel[[Entrée]],0)),"?"))</f>
        <v>0</v>
      </c>
      <c r="K21" s="16">
        <f>IF(Lignes_1_1[[#This Row],[Rôle ou catégorie]]="","",IFERROR(INDEX(Referentiel[[Code comptable]],MATCH(Lignes_1_1[[#This Row],[Rôle ou catégorie]],Referentiel[[Entrée]],0)),"?"))</f>
        <v>0</v>
      </c>
      <c r="L21" s="16">
        <f>IF(Lignes_1_1[[#This Row],[Rôle ou catégorie]]="","",IFERROR(INDEX(Referentiel[[Service]],MATCH(Lignes_1_1[[#This Row],[Rôle ou catégorie]],Referentiel[[Entrée]],0)),"?")&amp;"")</f>
        <v>0</v>
      </c>
      <c r="M21" s="16">
        <f>IF(Lignes_1_1[[#This Row],[Rôle ou catégorie]]="","",IFERROR(INDEX(Referentiel[[Taux horaire]],MATCH(Lignes_1_1[[#This Row],[Rôle ou catégorie]],Referentiel[[Entrée]],0)),"?"))</f>
        <v>0</v>
      </c>
      <c r="N21" s="17">
        <f>IF(Lignes_1_1[[#This Row],[Rôle ou catégorie]]="","",IF(Lignes_1_1[[#This Row],[Type]]="Main-d’œuvre",Lignes_1_1[[#This Row],[Quantité]]*Lignes_1_1[[#This Row],[Heures]],0))</f>
        <v>0</v>
      </c>
      <c r="O21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1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1" s="18">
        <f>IF(Lignes_1_1[[#This Row],[Rôle ou catégorie]]="","",Lignes_1_1[[#This Row],[Main-d’œuvre]]+Lignes_1_1[[#This Row],[Débours]])</f>
        <v>0</v>
      </c>
      <c r="R21" s="18"/>
      <c r="T21" s="16">
        <f>IF(Lignes_1_1[[#This Row],[Rôle ou catégorie]]="","",IFERROR(INDEX(Referentiel[[Type de nature]],MATCH(Lignes_1_1[[#This Row],[Rôle ou catégorie]],Referentiel[[Entrée]],0)),"?"))</f>
        <v>0</v>
      </c>
    </row>
    <row r="22" spans="1:20">
      <c r="A22" s="15"/>
      <c r="B22" s="16">
        <f>IF(Lignes_1_1[[#This Row],[Tâche]]="","",IFERROR(INDEX(Taches[[Description]],MATCH(Lignes_1_1[[#This Row],[Tâche]],Taches[[Entrée]],0)),""))</f>
        <v>0</v>
      </c>
      <c r="C22" s="15"/>
      <c r="D22" s="15"/>
      <c r="I22" s="15"/>
      <c r="J22" s="16">
        <f>IF(Lignes_1_1[[#This Row],[Rôle ou catégorie]]="","",IFERROR(INDEX(Referentiel[[Nature]],MATCH(Lignes_1_1[[#This Row],[Rôle ou catégorie]],Referentiel[[Entrée]],0)),"?"))</f>
        <v>0</v>
      </c>
      <c r="K22" s="16">
        <f>IF(Lignes_1_1[[#This Row],[Rôle ou catégorie]]="","",IFERROR(INDEX(Referentiel[[Code comptable]],MATCH(Lignes_1_1[[#This Row],[Rôle ou catégorie]],Referentiel[[Entrée]],0)),"?"))</f>
        <v>0</v>
      </c>
      <c r="L22" s="16">
        <f>IF(Lignes_1_1[[#This Row],[Rôle ou catégorie]]="","",IFERROR(INDEX(Referentiel[[Service]],MATCH(Lignes_1_1[[#This Row],[Rôle ou catégorie]],Referentiel[[Entrée]],0)),"?")&amp;"")</f>
        <v>0</v>
      </c>
      <c r="M22" s="16">
        <f>IF(Lignes_1_1[[#This Row],[Rôle ou catégorie]]="","",IFERROR(INDEX(Referentiel[[Taux horaire]],MATCH(Lignes_1_1[[#This Row],[Rôle ou catégorie]],Referentiel[[Entrée]],0)),"?"))</f>
        <v>0</v>
      </c>
      <c r="N22" s="17">
        <f>IF(Lignes_1_1[[#This Row],[Rôle ou catégorie]]="","",IF(Lignes_1_1[[#This Row],[Type]]="Main-d’œuvre",Lignes_1_1[[#This Row],[Quantité]]*Lignes_1_1[[#This Row],[Heures]],0))</f>
        <v>0</v>
      </c>
      <c r="O22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2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2" s="18">
        <f>IF(Lignes_1_1[[#This Row],[Rôle ou catégorie]]="","",Lignes_1_1[[#This Row],[Main-d’œuvre]]+Lignes_1_1[[#This Row],[Débours]])</f>
        <v>0</v>
      </c>
      <c r="R22" s="18"/>
      <c r="T22" s="16">
        <f>IF(Lignes_1_1[[#This Row],[Rôle ou catégorie]]="","",IFERROR(INDEX(Referentiel[[Type de nature]],MATCH(Lignes_1_1[[#This Row],[Rôle ou catégorie]],Referentiel[[Entrée]],0)),"?"))</f>
        <v>0</v>
      </c>
    </row>
    <row r="23" spans="1:20">
      <c r="A23" s="15"/>
      <c r="B23" s="16">
        <f>IF(Lignes_1_1[[#This Row],[Tâche]]="","",IFERROR(INDEX(Taches[[Description]],MATCH(Lignes_1_1[[#This Row],[Tâche]],Taches[[Entrée]],0)),""))</f>
        <v>0</v>
      </c>
      <c r="C23" s="15"/>
      <c r="D23" s="15"/>
      <c r="I23" s="15"/>
      <c r="J23" s="16">
        <f>IF(Lignes_1_1[[#This Row],[Rôle ou catégorie]]="","",IFERROR(INDEX(Referentiel[[Nature]],MATCH(Lignes_1_1[[#This Row],[Rôle ou catégorie]],Referentiel[[Entrée]],0)),"?"))</f>
        <v>0</v>
      </c>
      <c r="K23" s="16">
        <f>IF(Lignes_1_1[[#This Row],[Rôle ou catégorie]]="","",IFERROR(INDEX(Referentiel[[Code comptable]],MATCH(Lignes_1_1[[#This Row],[Rôle ou catégorie]],Referentiel[[Entrée]],0)),"?"))</f>
        <v>0</v>
      </c>
      <c r="L23" s="16">
        <f>IF(Lignes_1_1[[#This Row],[Rôle ou catégorie]]="","",IFERROR(INDEX(Referentiel[[Service]],MATCH(Lignes_1_1[[#This Row],[Rôle ou catégorie]],Referentiel[[Entrée]],0)),"?")&amp;"")</f>
        <v>0</v>
      </c>
      <c r="M23" s="16">
        <f>IF(Lignes_1_1[[#This Row],[Rôle ou catégorie]]="","",IFERROR(INDEX(Referentiel[[Taux horaire]],MATCH(Lignes_1_1[[#This Row],[Rôle ou catégorie]],Referentiel[[Entrée]],0)),"?"))</f>
        <v>0</v>
      </c>
      <c r="N23" s="17">
        <f>IF(Lignes_1_1[[#This Row],[Rôle ou catégorie]]="","",IF(Lignes_1_1[[#This Row],[Type]]="Main-d’œuvre",Lignes_1_1[[#This Row],[Quantité]]*Lignes_1_1[[#This Row],[Heures]],0))</f>
        <v>0</v>
      </c>
      <c r="O23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3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3" s="18">
        <f>IF(Lignes_1_1[[#This Row],[Rôle ou catégorie]]="","",Lignes_1_1[[#This Row],[Main-d’œuvre]]+Lignes_1_1[[#This Row],[Débours]])</f>
        <v>0</v>
      </c>
      <c r="R23" s="18"/>
      <c r="T23" s="16">
        <f>IF(Lignes_1_1[[#This Row],[Rôle ou catégorie]]="","",IFERROR(INDEX(Referentiel[[Type de nature]],MATCH(Lignes_1_1[[#This Row],[Rôle ou catégorie]],Referentiel[[Entrée]],0)),"?"))</f>
        <v>0</v>
      </c>
    </row>
    <row r="24" spans="1:20">
      <c r="A24" s="15"/>
      <c r="B24" s="16">
        <f>IF(Lignes_1_1[[#This Row],[Tâche]]="","",IFERROR(INDEX(Taches[[Description]],MATCH(Lignes_1_1[[#This Row],[Tâche]],Taches[[Entrée]],0)),""))</f>
        <v>0</v>
      </c>
      <c r="C24" s="15"/>
      <c r="D24" s="15"/>
      <c r="I24" s="15"/>
      <c r="J24" s="16">
        <f>IF(Lignes_1_1[[#This Row],[Rôle ou catégorie]]="","",IFERROR(INDEX(Referentiel[[Nature]],MATCH(Lignes_1_1[[#This Row],[Rôle ou catégorie]],Referentiel[[Entrée]],0)),"?"))</f>
        <v>0</v>
      </c>
      <c r="K24" s="16">
        <f>IF(Lignes_1_1[[#This Row],[Rôle ou catégorie]]="","",IFERROR(INDEX(Referentiel[[Code comptable]],MATCH(Lignes_1_1[[#This Row],[Rôle ou catégorie]],Referentiel[[Entrée]],0)),"?"))</f>
        <v>0</v>
      </c>
      <c r="L24" s="16">
        <f>IF(Lignes_1_1[[#This Row],[Rôle ou catégorie]]="","",IFERROR(INDEX(Referentiel[[Service]],MATCH(Lignes_1_1[[#This Row],[Rôle ou catégorie]],Referentiel[[Entrée]],0)),"?")&amp;"")</f>
        <v>0</v>
      </c>
      <c r="M24" s="16">
        <f>IF(Lignes_1_1[[#This Row],[Rôle ou catégorie]]="","",IFERROR(INDEX(Referentiel[[Taux horaire]],MATCH(Lignes_1_1[[#This Row],[Rôle ou catégorie]],Referentiel[[Entrée]],0)),"?"))</f>
        <v>0</v>
      </c>
      <c r="N24" s="17">
        <f>IF(Lignes_1_1[[#This Row],[Rôle ou catégorie]]="","",IF(Lignes_1_1[[#This Row],[Type]]="Main-d’œuvre",Lignes_1_1[[#This Row],[Quantité]]*Lignes_1_1[[#This Row],[Heures]],0))</f>
        <v>0</v>
      </c>
      <c r="O24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4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4" s="18">
        <f>IF(Lignes_1_1[[#This Row],[Rôle ou catégorie]]="","",Lignes_1_1[[#This Row],[Main-d’œuvre]]+Lignes_1_1[[#This Row],[Débours]])</f>
        <v>0</v>
      </c>
      <c r="R24" s="18"/>
      <c r="T24" s="16">
        <f>IF(Lignes_1_1[[#This Row],[Rôle ou catégorie]]="","",IFERROR(INDEX(Referentiel[[Type de nature]],MATCH(Lignes_1_1[[#This Row],[Rôle ou catégorie]],Referentiel[[Entrée]],0)),"?"))</f>
        <v>0</v>
      </c>
    </row>
    <row r="25" spans="1:20">
      <c r="A25" s="15"/>
      <c r="B25" s="16">
        <f>IF(Lignes_1_1[[#This Row],[Tâche]]="","",IFERROR(INDEX(Taches[[Description]],MATCH(Lignes_1_1[[#This Row],[Tâche]],Taches[[Entrée]],0)),""))</f>
        <v>0</v>
      </c>
      <c r="C25" s="15"/>
      <c r="D25" s="15"/>
      <c r="I25" s="15"/>
      <c r="J25" s="16">
        <f>IF(Lignes_1_1[[#This Row],[Rôle ou catégorie]]="","",IFERROR(INDEX(Referentiel[[Nature]],MATCH(Lignes_1_1[[#This Row],[Rôle ou catégorie]],Referentiel[[Entrée]],0)),"?"))</f>
        <v>0</v>
      </c>
      <c r="K25" s="16">
        <f>IF(Lignes_1_1[[#This Row],[Rôle ou catégorie]]="","",IFERROR(INDEX(Referentiel[[Code comptable]],MATCH(Lignes_1_1[[#This Row],[Rôle ou catégorie]],Referentiel[[Entrée]],0)),"?"))</f>
        <v>0</v>
      </c>
      <c r="L25" s="16">
        <f>IF(Lignes_1_1[[#This Row],[Rôle ou catégorie]]="","",IFERROR(INDEX(Referentiel[[Service]],MATCH(Lignes_1_1[[#This Row],[Rôle ou catégorie]],Referentiel[[Entrée]],0)),"?")&amp;"")</f>
        <v>0</v>
      </c>
      <c r="M25" s="16">
        <f>IF(Lignes_1_1[[#This Row],[Rôle ou catégorie]]="","",IFERROR(INDEX(Referentiel[[Taux horaire]],MATCH(Lignes_1_1[[#This Row],[Rôle ou catégorie]],Referentiel[[Entrée]],0)),"?"))</f>
        <v>0</v>
      </c>
      <c r="N25" s="17">
        <f>IF(Lignes_1_1[[#This Row],[Rôle ou catégorie]]="","",IF(Lignes_1_1[[#This Row],[Type]]="Main-d’œuvre",Lignes_1_1[[#This Row],[Quantité]]*Lignes_1_1[[#This Row],[Heures]],0))</f>
        <v>0</v>
      </c>
      <c r="O25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5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5" s="18">
        <f>IF(Lignes_1_1[[#This Row],[Rôle ou catégorie]]="","",Lignes_1_1[[#This Row],[Main-d’œuvre]]+Lignes_1_1[[#This Row],[Débours]])</f>
        <v>0</v>
      </c>
      <c r="R25" s="18"/>
      <c r="T25" s="16">
        <f>IF(Lignes_1_1[[#This Row],[Rôle ou catégorie]]="","",IFERROR(INDEX(Referentiel[[Type de nature]],MATCH(Lignes_1_1[[#This Row],[Rôle ou catégorie]],Referentiel[[Entrée]],0)),"?"))</f>
        <v>0</v>
      </c>
    </row>
    <row r="26" spans="1:20">
      <c r="A26" s="15"/>
      <c r="B26" s="16">
        <f>IF(Lignes_1_1[[#This Row],[Tâche]]="","",IFERROR(INDEX(Taches[[Description]],MATCH(Lignes_1_1[[#This Row],[Tâche]],Taches[[Entrée]],0)),""))</f>
        <v>0</v>
      </c>
      <c r="C26" s="15"/>
      <c r="D26" s="15"/>
      <c r="I26" s="15"/>
      <c r="J26" s="16">
        <f>IF(Lignes_1_1[[#This Row],[Rôle ou catégorie]]="","",IFERROR(INDEX(Referentiel[[Nature]],MATCH(Lignes_1_1[[#This Row],[Rôle ou catégorie]],Referentiel[[Entrée]],0)),"?"))</f>
        <v>0</v>
      </c>
      <c r="K26" s="16">
        <f>IF(Lignes_1_1[[#This Row],[Rôle ou catégorie]]="","",IFERROR(INDEX(Referentiel[[Code comptable]],MATCH(Lignes_1_1[[#This Row],[Rôle ou catégorie]],Referentiel[[Entrée]],0)),"?"))</f>
        <v>0</v>
      </c>
      <c r="L26" s="16">
        <f>IF(Lignes_1_1[[#This Row],[Rôle ou catégorie]]="","",IFERROR(INDEX(Referentiel[[Service]],MATCH(Lignes_1_1[[#This Row],[Rôle ou catégorie]],Referentiel[[Entrée]],0)),"?")&amp;"")</f>
        <v>0</v>
      </c>
      <c r="M26" s="16">
        <f>IF(Lignes_1_1[[#This Row],[Rôle ou catégorie]]="","",IFERROR(INDEX(Referentiel[[Taux horaire]],MATCH(Lignes_1_1[[#This Row],[Rôle ou catégorie]],Referentiel[[Entrée]],0)),"?"))</f>
        <v>0</v>
      </c>
      <c r="N26" s="17">
        <f>IF(Lignes_1_1[[#This Row],[Rôle ou catégorie]]="","",IF(Lignes_1_1[[#This Row],[Type]]="Main-d’œuvre",Lignes_1_1[[#This Row],[Quantité]]*Lignes_1_1[[#This Row],[Heures]],0))</f>
        <v>0</v>
      </c>
      <c r="O26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6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6" s="18">
        <f>IF(Lignes_1_1[[#This Row],[Rôle ou catégorie]]="","",Lignes_1_1[[#This Row],[Main-d’œuvre]]+Lignes_1_1[[#This Row],[Débours]])</f>
        <v>0</v>
      </c>
      <c r="R26" s="18"/>
      <c r="T26" s="16">
        <f>IF(Lignes_1_1[[#This Row],[Rôle ou catégorie]]="","",IFERROR(INDEX(Referentiel[[Type de nature]],MATCH(Lignes_1_1[[#This Row],[Rôle ou catégorie]],Referentiel[[Entrée]],0)),"?"))</f>
        <v>0</v>
      </c>
    </row>
    <row r="27" spans="1:20">
      <c r="A27" s="15"/>
      <c r="B27" s="16">
        <f>IF(Lignes_1_1[[#This Row],[Tâche]]="","",IFERROR(INDEX(Taches[[Description]],MATCH(Lignes_1_1[[#This Row],[Tâche]],Taches[[Entrée]],0)),""))</f>
        <v>0</v>
      </c>
      <c r="C27" s="15"/>
      <c r="D27" s="15"/>
      <c r="I27" s="15"/>
      <c r="J27" s="16">
        <f>IF(Lignes_1_1[[#This Row],[Rôle ou catégorie]]="","",IFERROR(INDEX(Referentiel[[Nature]],MATCH(Lignes_1_1[[#This Row],[Rôle ou catégorie]],Referentiel[[Entrée]],0)),"?"))</f>
        <v>0</v>
      </c>
      <c r="K27" s="16">
        <f>IF(Lignes_1_1[[#This Row],[Rôle ou catégorie]]="","",IFERROR(INDEX(Referentiel[[Code comptable]],MATCH(Lignes_1_1[[#This Row],[Rôle ou catégorie]],Referentiel[[Entrée]],0)),"?"))</f>
        <v>0</v>
      </c>
      <c r="L27" s="16">
        <f>IF(Lignes_1_1[[#This Row],[Rôle ou catégorie]]="","",IFERROR(INDEX(Referentiel[[Service]],MATCH(Lignes_1_1[[#This Row],[Rôle ou catégorie]],Referentiel[[Entrée]],0)),"?")&amp;"")</f>
        <v>0</v>
      </c>
      <c r="M27" s="16">
        <f>IF(Lignes_1_1[[#This Row],[Rôle ou catégorie]]="","",IFERROR(INDEX(Referentiel[[Taux horaire]],MATCH(Lignes_1_1[[#This Row],[Rôle ou catégorie]],Referentiel[[Entrée]],0)),"?"))</f>
        <v>0</v>
      </c>
      <c r="N27" s="17">
        <f>IF(Lignes_1_1[[#This Row],[Rôle ou catégorie]]="","",IF(Lignes_1_1[[#This Row],[Type]]="Main-d’œuvre",Lignes_1_1[[#This Row],[Quantité]]*Lignes_1_1[[#This Row],[Heures]],0))</f>
        <v>0</v>
      </c>
      <c r="O27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7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7" s="18">
        <f>IF(Lignes_1_1[[#This Row],[Rôle ou catégorie]]="","",Lignes_1_1[[#This Row],[Main-d’œuvre]]+Lignes_1_1[[#This Row],[Débours]])</f>
        <v>0</v>
      </c>
      <c r="R27" s="18"/>
      <c r="T27" s="16">
        <f>IF(Lignes_1_1[[#This Row],[Rôle ou catégorie]]="","",IFERROR(INDEX(Referentiel[[Type de nature]],MATCH(Lignes_1_1[[#This Row],[Rôle ou catégorie]],Referentiel[[Entrée]],0)),"?"))</f>
        <v>0</v>
      </c>
    </row>
    <row r="28" spans="1:20">
      <c r="A28" s="15"/>
      <c r="B28" s="16">
        <f>IF(Lignes_1_1[[#This Row],[Tâche]]="","",IFERROR(INDEX(Taches[[Description]],MATCH(Lignes_1_1[[#This Row],[Tâche]],Taches[[Entrée]],0)),""))</f>
        <v>0</v>
      </c>
      <c r="C28" s="15"/>
      <c r="D28" s="15"/>
      <c r="I28" s="15"/>
      <c r="J28" s="16">
        <f>IF(Lignes_1_1[[#This Row],[Rôle ou catégorie]]="","",IFERROR(INDEX(Referentiel[[Nature]],MATCH(Lignes_1_1[[#This Row],[Rôle ou catégorie]],Referentiel[[Entrée]],0)),"?"))</f>
        <v>0</v>
      </c>
      <c r="K28" s="16">
        <f>IF(Lignes_1_1[[#This Row],[Rôle ou catégorie]]="","",IFERROR(INDEX(Referentiel[[Code comptable]],MATCH(Lignes_1_1[[#This Row],[Rôle ou catégorie]],Referentiel[[Entrée]],0)),"?"))</f>
        <v>0</v>
      </c>
      <c r="L28" s="16">
        <f>IF(Lignes_1_1[[#This Row],[Rôle ou catégorie]]="","",IFERROR(INDEX(Referentiel[[Service]],MATCH(Lignes_1_1[[#This Row],[Rôle ou catégorie]],Referentiel[[Entrée]],0)),"?")&amp;"")</f>
        <v>0</v>
      </c>
      <c r="M28" s="16">
        <f>IF(Lignes_1_1[[#This Row],[Rôle ou catégorie]]="","",IFERROR(INDEX(Referentiel[[Taux horaire]],MATCH(Lignes_1_1[[#This Row],[Rôle ou catégorie]],Referentiel[[Entrée]],0)),"?"))</f>
        <v>0</v>
      </c>
      <c r="N28" s="17">
        <f>IF(Lignes_1_1[[#This Row],[Rôle ou catégorie]]="","",IF(Lignes_1_1[[#This Row],[Type]]="Main-d’œuvre",Lignes_1_1[[#This Row],[Quantité]]*Lignes_1_1[[#This Row],[Heures]],0))</f>
        <v>0</v>
      </c>
      <c r="O28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8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8" s="18">
        <f>IF(Lignes_1_1[[#This Row],[Rôle ou catégorie]]="","",Lignes_1_1[[#This Row],[Main-d’œuvre]]+Lignes_1_1[[#This Row],[Débours]])</f>
        <v>0</v>
      </c>
      <c r="R28" s="18"/>
      <c r="T28" s="16">
        <f>IF(Lignes_1_1[[#This Row],[Rôle ou catégorie]]="","",IFERROR(INDEX(Referentiel[[Type de nature]],MATCH(Lignes_1_1[[#This Row],[Rôle ou catégorie]],Referentiel[[Entrée]],0)),"?"))</f>
        <v>0</v>
      </c>
    </row>
    <row r="29" spans="1:20">
      <c r="A29" s="15"/>
      <c r="B29" s="16">
        <f>IF(Lignes_1_1[[#This Row],[Tâche]]="","",IFERROR(INDEX(Taches[[Description]],MATCH(Lignes_1_1[[#This Row],[Tâche]],Taches[[Entrée]],0)),""))</f>
        <v>0</v>
      </c>
      <c r="C29" s="15"/>
      <c r="D29" s="15"/>
      <c r="I29" s="15"/>
      <c r="J29" s="16">
        <f>IF(Lignes_1_1[[#This Row],[Rôle ou catégorie]]="","",IFERROR(INDEX(Referentiel[[Nature]],MATCH(Lignes_1_1[[#This Row],[Rôle ou catégorie]],Referentiel[[Entrée]],0)),"?"))</f>
        <v>0</v>
      </c>
      <c r="K29" s="16">
        <f>IF(Lignes_1_1[[#This Row],[Rôle ou catégorie]]="","",IFERROR(INDEX(Referentiel[[Code comptable]],MATCH(Lignes_1_1[[#This Row],[Rôle ou catégorie]],Referentiel[[Entrée]],0)),"?"))</f>
        <v>0</v>
      </c>
      <c r="L29" s="16">
        <f>IF(Lignes_1_1[[#This Row],[Rôle ou catégorie]]="","",IFERROR(INDEX(Referentiel[[Service]],MATCH(Lignes_1_1[[#This Row],[Rôle ou catégorie]],Referentiel[[Entrée]],0)),"?")&amp;"")</f>
        <v>0</v>
      </c>
      <c r="M29" s="16">
        <f>IF(Lignes_1_1[[#This Row],[Rôle ou catégorie]]="","",IFERROR(INDEX(Referentiel[[Taux horaire]],MATCH(Lignes_1_1[[#This Row],[Rôle ou catégorie]],Referentiel[[Entrée]],0)),"?"))</f>
        <v>0</v>
      </c>
      <c r="N29" s="17">
        <f>IF(Lignes_1_1[[#This Row],[Rôle ou catégorie]]="","",IF(Lignes_1_1[[#This Row],[Type]]="Main-d’œuvre",Lignes_1_1[[#This Row],[Quantité]]*Lignes_1_1[[#This Row],[Heures]],0))</f>
        <v>0</v>
      </c>
      <c r="O29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29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29" s="18">
        <f>IF(Lignes_1_1[[#This Row],[Rôle ou catégorie]]="","",Lignes_1_1[[#This Row],[Main-d’œuvre]]+Lignes_1_1[[#This Row],[Débours]])</f>
        <v>0</v>
      </c>
      <c r="R29" s="18"/>
      <c r="T29" s="16">
        <f>IF(Lignes_1_1[[#This Row],[Rôle ou catégorie]]="","",IFERROR(INDEX(Referentiel[[Type de nature]],MATCH(Lignes_1_1[[#This Row],[Rôle ou catégorie]],Referentiel[[Entrée]],0)),"?"))</f>
        <v>0</v>
      </c>
    </row>
    <row r="30" spans="1:20">
      <c r="A30" s="15"/>
      <c r="B30" s="16">
        <f>IF(Lignes_1_1[[#This Row],[Tâche]]="","",IFERROR(INDEX(Taches[[Description]],MATCH(Lignes_1_1[[#This Row],[Tâche]],Taches[[Entrée]],0)),""))</f>
        <v>0</v>
      </c>
      <c r="C30" s="15"/>
      <c r="D30" s="15"/>
      <c r="I30" s="15"/>
      <c r="J30" s="16">
        <f>IF(Lignes_1_1[[#This Row],[Rôle ou catégorie]]="","",IFERROR(INDEX(Referentiel[[Nature]],MATCH(Lignes_1_1[[#This Row],[Rôle ou catégorie]],Referentiel[[Entrée]],0)),"?"))</f>
        <v>0</v>
      </c>
      <c r="K30" s="16">
        <f>IF(Lignes_1_1[[#This Row],[Rôle ou catégorie]]="","",IFERROR(INDEX(Referentiel[[Code comptable]],MATCH(Lignes_1_1[[#This Row],[Rôle ou catégorie]],Referentiel[[Entrée]],0)),"?"))</f>
        <v>0</v>
      </c>
      <c r="L30" s="16">
        <f>IF(Lignes_1_1[[#This Row],[Rôle ou catégorie]]="","",IFERROR(INDEX(Referentiel[[Service]],MATCH(Lignes_1_1[[#This Row],[Rôle ou catégorie]],Referentiel[[Entrée]],0)),"?")&amp;"")</f>
        <v>0</v>
      </c>
      <c r="M30" s="16">
        <f>IF(Lignes_1_1[[#This Row],[Rôle ou catégorie]]="","",IFERROR(INDEX(Referentiel[[Taux horaire]],MATCH(Lignes_1_1[[#This Row],[Rôle ou catégorie]],Referentiel[[Entrée]],0)),"?"))</f>
        <v>0</v>
      </c>
      <c r="N30" s="17">
        <f>IF(Lignes_1_1[[#This Row],[Rôle ou catégorie]]="","",IF(Lignes_1_1[[#This Row],[Type]]="Main-d’œuvre",Lignes_1_1[[#This Row],[Quantité]]*Lignes_1_1[[#This Row],[Heures]],0))</f>
        <v>0</v>
      </c>
      <c r="O30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0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0" s="18">
        <f>IF(Lignes_1_1[[#This Row],[Rôle ou catégorie]]="","",Lignes_1_1[[#This Row],[Main-d’œuvre]]+Lignes_1_1[[#This Row],[Débours]])</f>
        <v>0</v>
      </c>
      <c r="R30" s="18"/>
      <c r="T30" s="16">
        <f>IF(Lignes_1_1[[#This Row],[Rôle ou catégorie]]="","",IFERROR(INDEX(Referentiel[[Type de nature]],MATCH(Lignes_1_1[[#This Row],[Rôle ou catégorie]],Referentiel[[Entrée]],0)),"?"))</f>
        <v>0</v>
      </c>
    </row>
    <row r="31" spans="1:20">
      <c r="A31" s="15"/>
      <c r="B31" s="16">
        <f>IF(Lignes_1_1[[#This Row],[Tâche]]="","",IFERROR(INDEX(Taches[[Description]],MATCH(Lignes_1_1[[#This Row],[Tâche]],Taches[[Entrée]],0)),""))</f>
        <v>0</v>
      </c>
      <c r="C31" s="15"/>
      <c r="D31" s="15"/>
      <c r="I31" s="15"/>
      <c r="J31" s="16">
        <f>IF(Lignes_1_1[[#This Row],[Rôle ou catégorie]]="","",IFERROR(INDEX(Referentiel[[Nature]],MATCH(Lignes_1_1[[#This Row],[Rôle ou catégorie]],Referentiel[[Entrée]],0)),"?"))</f>
        <v>0</v>
      </c>
      <c r="K31" s="16">
        <f>IF(Lignes_1_1[[#This Row],[Rôle ou catégorie]]="","",IFERROR(INDEX(Referentiel[[Code comptable]],MATCH(Lignes_1_1[[#This Row],[Rôle ou catégorie]],Referentiel[[Entrée]],0)),"?"))</f>
        <v>0</v>
      </c>
      <c r="L31" s="16">
        <f>IF(Lignes_1_1[[#This Row],[Rôle ou catégorie]]="","",IFERROR(INDEX(Referentiel[[Service]],MATCH(Lignes_1_1[[#This Row],[Rôle ou catégorie]],Referentiel[[Entrée]],0)),"?")&amp;"")</f>
        <v>0</v>
      </c>
      <c r="M31" s="16">
        <f>IF(Lignes_1_1[[#This Row],[Rôle ou catégorie]]="","",IFERROR(INDEX(Referentiel[[Taux horaire]],MATCH(Lignes_1_1[[#This Row],[Rôle ou catégorie]],Referentiel[[Entrée]],0)),"?"))</f>
        <v>0</v>
      </c>
      <c r="N31" s="17">
        <f>IF(Lignes_1_1[[#This Row],[Rôle ou catégorie]]="","",IF(Lignes_1_1[[#This Row],[Type]]="Main-d’œuvre",Lignes_1_1[[#This Row],[Quantité]]*Lignes_1_1[[#This Row],[Heures]],0))</f>
        <v>0</v>
      </c>
      <c r="O31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1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1" s="18">
        <f>IF(Lignes_1_1[[#This Row],[Rôle ou catégorie]]="","",Lignes_1_1[[#This Row],[Main-d’œuvre]]+Lignes_1_1[[#This Row],[Débours]])</f>
        <v>0</v>
      </c>
      <c r="R31" s="18"/>
      <c r="T31" s="16">
        <f>IF(Lignes_1_1[[#This Row],[Rôle ou catégorie]]="","",IFERROR(INDEX(Referentiel[[Type de nature]],MATCH(Lignes_1_1[[#This Row],[Rôle ou catégorie]],Referentiel[[Entrée]],0)),"?"))</f>
        <v>0</v>
      </c>
    </row>
    <row r="32" spans="1:20">
      <c r="A32" s="15"/>
      <c r="B32" s="16">
        <f>IF(Lignes_1_1[[#This Row],[Tâche]]="","",IFERROR(INDEX(Taches[[Description]],MATCH(Lignes_1_1[[#This Row],[Tâche]],Taches[[Entrée]],0)),""))</f>
        <v>0</v>
      </c>
      <c r="C32" s="15"/>
      <c r="D32" s="15"/>
      <c r="I32" s="15"/>
      <c r="J32" s="16">
        <f>IF(Lignes_1_1[[#This Row],[Rôle ou catégorie]]="","",IFERROR(INDEX(Referentiel[[Nature]],MATCH(Lignes_1_1[[#This Row],[Rôle ou catégorie]],Referentiel[[Entrée]],0)),"?"))</f>
        <v>0</v>
      </c>
      <c r="K32" s="16">
        <f>IF(Lignes_1_1[[#This Row],[Rôle ou catégorie]]="","",IFERROR(INDEX(Referentiel[[Code comptable]],MATCH(Lignes_1_1[[#This Row],[Rôle ou catégorie]],Referentiel[[Entrée]],0)),"?"))</f>
        <v>0</v>
      </c>
      <c r="L32" s="16">
        <f>IF(Lignes_1_1[[#This Row],[Rôle ou catégorie]]="","",IFERROR(INDEX(Referentiel[[Service]],MATCH(Lignes_1_1[[#This Row],[Rôle ou catégorie]],Referentiel[[Entrée]],0)),"?")&amp;"")</f>
        <v>0</v>
      </c>
      <c r="M32" s="16">
        <f>IF(Lignes_1_1[[#This Row],[Rôle ou catégorie]]="","",IFERROR(INDEX(Referentiel[[Taux horaire]],MATCH(Lignes_1_1[[#This Row],[Rôle ou catégorie]],Referentiel[[Entrée]],0)),"?"))</f>
        <v>0</v>
      </c>
      <c r="N32" s="17">
        <f>IF(Lignes_1_1[[#This Row],[Rôle ou catégorie]]="","",IF(Lignes_1_1[[#This Row],[Type]]="Main-d’œuvre",Lignes_1_1[[#This Row],[Quantité]]*Lignes_1_1[[#This Row],[Heures]],0))</f>
        <v>0</v>
      </c>
      <c r="O32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2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2" s="18">
        <f>IF(Lignes_1_1[[#This Row],[Rôle ou catégorie]]="","",Lignes_1_1[[#This Row],[Main-d’œuvre]]+Lignes_1_1[[#This Row],[Débours]])</f>
        <v>0</v>
      </c>
      <c r="R32" s="18"/>
      <c r="T32" s="16">
        <f>IF(Lignes_1_1[[#This Row],[Rôle ou catégorie]]="","",IFERROR(INDEX(Referentiel[[Type de nature]],MATCH(Lignes_1_1[[#This Row],[Rôle ou catégorie]],Referentiel[[Entrée]],0)),"?"))</f>
        <v>0</v>
      </c>
    </row>
    <row r="33" spans="1:20">
      <c r="A33" s="15"/>
      <c r="B33" s="16">
        <f>IF(Lignes_1_1[[#This Row],[Tâche]]="","",IFERROR(INDEX(Taches[[Description]],MATCH(Lignes_1_1[[#This Row],[Tâche]],Taches[[Entrée]],0)),""))</f>
        <v>0</v>
      </c>
      <c r="C33" s="15"/>
      <c r="D33" s="15"/>
      <c r="I33" s="15"/>
      <c r="J33" s="16">
        <f>IF(Lignes_1_1[[#This Row],[Rôle ou catégorie]]="","",IFERROR(INDEX(Referentiel[[Nature]],MATCH(Lignes_1_1[[#This Row],[Rôle ou catégorie]],Referentiel[[Entrée]],0)),"?"))</f>
        <v>0</v>
      </c>
      <c r="K33" s="16">
        <f>IF(Lignes_1_1[[#This Row],[Rôle ou catégorie]]="","",IFERROR(INDEX(Referentiel[[Code comptable]],MATCH(Lignes_1_1[[#This Row],[Rôle ou catégorie]],Referentiel[[Entrée]],0)),"?"))</f>
        <v>0</v>
      </c>
      <c r="L33" s="16">
        <f>IF(Lignes_1_1[[#This Row],[Rôle ou catégorie]]="","",IFERROR(INDEX(Referentiel[[Service]],MATCH(Lignes_1_1[[#This Row],[Rôle ou catégorie]],Referentiel[[Entrée]],0)),"?")&amp;"")</f>
        <v>0</v>
      </c>
      <c r="M33" s="16">
        <f>IF(Lignes_1_1[[#This Row],[Rôle ou catégorie]]="","",IFERROR(INDEX(Referentiel[[Taux horaire]],MATCH(Lignes_1_1[[#This Row],[Rôle ou catégorie]],Referentiel[[Entrée]],0)),"?"))</f>
        <v>0</v>
      </c>
      <c r="N33" s="17">
        <f>IF(Lignes_1_1[[#This Row],[Rôle ou catégorie]]="","",IF(Lignes_1_1[[#This Row],[Type]]="Main-d’œuvre",Lignes_1_1[[#This Row],[Quantité]]*Lignes_1_1[[#This Row],[Heures]],0))</f>
        <v>0</v>
      </c>
      <c r="O33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3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3" s="18">
        <f>IF(Lignes_1_1[[#This Row],[Rôle ou catégorie]]="","",Lignes_1_1[[#This Row],[Main-d’œuvre]]+Lignes_1_1[[#This Row],[Débours]])</f>
        <v>0</v>
      </c>
      <c r="R33" s="18"/>
      <c r="T33" s="16">
        <f>IF(Lignes_1_1[[#This Row],[Rôle ou catégorie]]="","",IFERROR(INDEX(Referentiel[[Type de nature]],MATCH(Lignes_1_1[[#This Row],[Rôle ou catégorie]],Referentiel[[Entrée]],0)),"?"))</f>
        <v>0</v>
      </c>
    </row>
    <row r="34" spans="1:20">
      <c r="A34" s="15"/>
      <c r="B34" s="16">
        <f>IF(Lignes_1_1[[#This Row],[Tâche]]="","",IFERROR(INDEX(Taches[[Description]],MATCH(Lignes_1_1[[#This Row],[Tâche]],Taches[[Entrée]],0)),""))</f>
        <v>0</v>
      </c>
      <c r="C34" s="15"/>
      <c r="D34" s="15"/>
      <c r="I34" s="15"/>
      <c r="J34" s="16">
        <f>IF(Lignes_1_1[[#This Row],[Rôle ou catégorie]]="","",IFERROR(INDEX(Referentiel[[Nature]],MATCH(Lignes_1_1[[#This Row],[Rôle ou catégorie]],Referentiel[[Entrée]],0)),"?"))</f>
        <v>0</v>
      </c>
      <c r="K34" s="16">
        <f>IF(Lignes_1_1[[#This Row],[Rôle ou catégorie]]="","",IFERROR(INDEX(Referentiel[[Code comptable]],MATCH(Lignes_1_1[[#This Row],[Rôle ou catégorie]],Referentiel[[Entrée]],0)),"?"))</f>
        <v>0</v>
      </c>
      <c r="L34" s="16">
        <f>IF(Lignes_1_1[[#This Row],[Rôle ou catégorie]]="","",IFERROR(INDEX(Referentiel[[Service]],MATCH(Lignes_1_1[[#This Row],[Rôle ou catégorie]],Referentiel[[Entrée]],0)),"?")&amp;"")</f>
        <v>0</v>
      </c>
      <c r="M34" s="16">
        <f>IF(Lignes_1_1[[#This Row],[Rôle ou catégorie]]="","",IFERROR(INDEX(Referentiel[[Taux horaire]],MATCH(Lignes_1_1[[#This Row],[Rôle ou catégorie]],Referentiel[[Entrée]],0)),"?"))</f>
        <v>0</v>
      </c>
      <c r="N34" s="17">
        <f>IF(Lignes_1_1[[#This Row],[Rôle ou catégorie]]="","",IF(Lignes_1_1[[#This Row],[Type]]="Main-d’œuvre",Lignes_1_1[[#This Row],[Quantité]]*Lignes_1_1[[#This Row],[Heures]],0))</f>
        <v>0</v>
      </c>
      <c r="O34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4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4" s="18">
        <f>IF(Lignes_1_1[[#This Row],[Rôle ou catégorie]]="","",Lignes_1_1[[#This Row],[Main-d’œuvre]]+Lignes_1_1[[#This Row],[Débours]])</f>
        <v>0</v>
      </c>
      <c r="R34" s="18"/>
      <c r="T34" s="16">
        <f>IF(Lignes_1_1[[#This Row],[Rôle ou catégorie]]="","",IFERROR(INDEX(Referentiel[[Type de nature]],MATCH(Lignes_1_1[[#This Row],[Rôle ou catégorie]],Referentiel[[Entrée]],0)),"?"))</f>
        <v>0</v>
      </c>
    </row>
    <row r="35" spans="1:20">
      <c r="A35" s="15"/>
      <c r="B35" s="16">
        <f>IF(Lignes_1_1[[#This Row],[Tâche]]="","",IFERROR(INDEX(Taches[[Description]],MATCH(Lignes_1_1[[#This Row],[Tâche]],Taches[[Entrée]],0)),""))</f>
        <v>0</v>
      </c>
      <c r="C35" s="15"/>
      <c r="D35" s="15"/>
      <c r="I35" s="15"/>
      <c r="J35" s="16">
        <f>IF(Lignes_1_1[[#This Row],[Rôle ou catégorie]]="","",IFERROR(INDEX(Referentiel[[Nature]],MATCH(Lignes_1_1[[#This Row],[Rôle ou catégorie]],Referentiel[[Entrée]],0)),"?"))</f>
        <v>0</v>
      </c>
      <c r="K35" s="16">
        <f>IF(Lignes_1_1[[#This Row],[Rôle ou catégorie]]="","",IFERROR(INDEX(Referentiel[[Code comptable]],MATCH(Lignes_1_1[[#This Row],[Rôle ou catégorie]],Referentiel[[Entrée]],0)),"?"))</f>
        <v>0</v>
      </c>
      <c r="L35" s="16">
        <f>IF(Lignes_1_1[[#This Row],[Rôle ou catégorie]]="","",IFERROR(INDEX(Referentiel[[Service]],MATCH(Lignes_1_1[[#This Row],[Rôle ou catégorie]],Referentiel[[Entrée]],0)),"?")&amp;"")</f>
        <v>0</v>
      </c>
      <c r="M35" s="16">
        <f>IF(Lignes_1_1[[#This Row],[Rôle ou catégorie]]="","",IFERROR(INDEX(Referentiel[[Taux horaire]],MATCH(Lignes_1_1[[#This Row],[Rôle ou catégorie]],Referentiel[[Entrée]],0)),"?"))</f>
        <v>0</v>
      </c>
      <c r="N35" s="17">
        <f>IF(Lignes_1_1[[#This Row],[Rôle ou catégorie]]="","",IF(Lignes_1_1[[#This Row],[Type]]="Main-d’œuvre",Lignes_1_1[[#This Row],[Quantité]]*Lignes_1_1[[#This Row],[Heures]],0))</f>
        <v>0</v>
      </c>
      <c r="O35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5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5" s="18">
        <f>IF(Lignes_1_1[[#This Row],[Rôle ou catégorie]]="","",Lignes_1_1[[#This Row],[Main-d’œuvre]]+Lignes_1_1[[#This Row],[Débours]])</f>
        <v>0</v>
      </c>
      <c r="R35" s="18"/>
      <c r="T35" s="16">
        <f>IF(Lignes_1_1[[#This Row],[Rôle ou catégorie]]="","",IFERROR(INDEX(Referentiel[[Type de nature]],MATCH(Lignes_1_1[[#This Row],[Rôle ou catégorie]],Referentiel[[Entrée]],0)),"?"))</f>
        <v>0</v>
      </c>
    </row>
    <row r="36" spans="1:20">
      <c r="A36" s="15"/>
      <c r="B36" s="16">
        <f>IF(Lignes_1_1[[#This Row],[Tâche]]="","",IFERROR(INDEX(Taches[[Description]],MATCH(Lignes_1_1[[#This Row],[Tâche]],Taches[[Entrée]],0)),""))</f>
        <v>0</v>
      </c>
      <c r="C36" s="15"/>
      <c r="D36" s="15"/>
      <c r="I36" s="15"/>
      <c r="J36" s="16">
        <f>IF(Lignes_1_1[[#This Row],[Rôle ou catégorie]]="","",IFERROR(INDEX(Referentiel[[Nature]],MATCH(Lignes_1_1[[#This Row],[Rôle ou catégorie]],Referentiel[[Entrée]],0)),"?"))</f>
        <v>0</v>
      </c>
      <c r="K36" s="16">
        <f>IF(Lignes_1_1[[#This Row],[Rôle ou catégorie]]="","",IFERROR(INDEX(Referentiel[[Code comptable]],MATCH(Lignes_1_1[[#This Row],[Rôle ou catégorie]],Referentiel[[Entrée]],0)),"?"))</f>
        <v>0</v>
      </c>
      <c r="L36" s="16">
        <f>IF(Lignes_1_1[[#This Row],[Rôle ou catégorie]]="","",IFERROR(INDEX(Referentiel[[Service]],MATCH(Lignes_1_1[[#This Row],[Rôle ou catégorie]],Referentiel[[Entrée]],0)),"?")&amp;"")</f>
        <v>0</v>
      </c>
      <c r="M36" s="16">
        <f>IF(Lignes_1_1[[#This Row],[Rôle ou catégorie]]="","",IFERROR(INDEX(Referentiel[[Taux horaire]],MATCH(Lignes_1_1[[#This Row],[Rôle ou catégorie]],Referentiel[[Entrée]],0)),"?"))</f>
        <v>0</v>
      </c>
      <c r="N36" s="17">
        <f>IF(Lignes_1_1[[#This Row],[Rôle ou catégorie]]="","",IF(Lignes_1_1[[#This Row],[Type]]="Main-d’œuvre",Lignes_1_1[[#This Row],[Quantité]]*Lignes_1_1[[#This Row],[Heures]],0))</f>
        <v>0</v>
      </c>
      <c r="O36" s="18">
        <f>IF(Lignes_1_1[[#This Row],[Rôle ou catégorie]]="","",IF(Lignes_1_1[[#This Row],[Type]]="Main-d’œuvre",Lignes_1_1[[#This Row],[Quantité]]*Lignes_1_1[[#This Row],[Heures]]*Lignes_1_1[[#This Row],[Taux horaire]],0))</f>
        <v>0</v>
      </c>
      <c r="P36" s="18">
        <f>IF(Lignes_1_1[[#This Row],[Rôle ou catégorie]]="","",IF(OR(Lignes_1_1[[#This Row],[Type]]="Hors main-d’œuvre",Lignes_1_1[[#This Row],[Type]]="Provision"),Lignes_1_1[[#This Row],[Quantité]]*Lignes_1_1[[#This Row],[Débours unitaire]],0))</f>
        <v>0</v>
      </c>
      <c r="Q36" s="18">
        <f>IF(Lignes_1_1[[#This Row],[Rôle ou catégorie]]="","",Lignes_1_1[[#This Row],[Main-d’œuvre]]+Lignes_1_1[[#This Row],[Débours]])</f>
        <v>0</v>
      </c>
      <c r="R36" s="18"/>
      <c r="T36" s="16">
        <f>IF(Lignes_1_1[[#This Row],[Rôle ou catégorie]]="","",IFERROR(INDEX(Referentiel[[Type de nature]],MATCH(Lignes_1_1[[#This Row],[Rôle ou catégorie]],Referentiel[[Entrée]],0)),"?"))</f>
        <v>0</v>
      </c>
    </row>
    <row r="37" spans="1:20">
      <c r="A37" s="15" t="s">
        <v>140</v>
      </c>
      <c r="N37" s="17">
        <f>SUBTOTAL(109,Lignes_1_1[[Heures totales]])</f>
        <v>0</v>
      </c>
      <c r="O37" s="18">
        <f>SUBTOTAL(109,Lignes_1_1[[Main-d’œuvre]])</f>
        <v>0</v>
      </c>
      <c r="P37" s="18">
        <f>SUBTOTAL(109,Lignes_1_1[[Débours]])</f>
        <v>0</v>
      </c>
      <c r="Q37" s="18">
        <f>SUBTOTAL(109,Lignes_1_1[[Montant]])</f>
        <v>0</v>
      </c>
      <c r="R37" s="18">
        <f>SUBTOTAL(109,Lignes_1_1[[Montant Waterfall]])</f>
        <v>0</v>
      </c>
    </row>
  </sheetData>
  <dataValidations count="3">
    <dataValidation type="list" allowBlank="1" showInputMessage="1" showErrorMessage="1" errorTitle="Tâche" error="Choisis une tâche de cet onglet (onglet Tâches)." sqref="A2:A1001">
      <formula1>'Tâches'!$A$5:$A$8</formula1>
    </dataValidation>
    <dataValidation type="list" allowBlank="1" showInputMessage="1" showErrorMessage="1" errorTitle="Rôle ou catégorie" error="Choisis un rôle ou une catégorie du référentiel." sqref="C2:C1001">
      <formula1>'Paramètres'!$A$5:$A$13</formula1>
    </dataValidation>
    <dataValidation type="list" allowBlank="1" showInputMessage="1" showErrorMessage="1" sqref="I2:I1001">
      <formula1>'Paramètres'!$K$5:$K$6</formula1>
    </dataValidation>
  </dataValidations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T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outlineLevelCol="1"/>
  <cols>
    <col min="1" max="3" width="34.7109375" customWidth="1"/>
    <col min="4" max="4" width="30.7109375" customWidth="1"/>
    <col min="5" max="5" width="10.7109375" customWidth="1"/>
    <col min="6" max="6" width="9.7109375" customWidth="1"/>
    <col min="7" max="7" width="12.7109375" customWidth="1"/>
    <col min="8" max="8" width="11.7109375" customWidth="1"/>
    <col min="9" max="9" width="12.7109375" customWidth="1"/>
    <col min="10" max="10" width="18.7109375" customWidth="1"/>
    <col min="11" max="11" width="11.7109375" customWidth="1"/>
    <col min="12" max="12" width="22.7109375" customWidth="1"/>
    <col min="13" max="13" width="9.7109375" customWidth="1"/>
    <col min="14" max="14" width="10.7109375" customWidth="1"/>
    <col min="15" max="17" width="13.7109375" customWidth="1"/>
    <col min="18" max="18" width="14.7109375" customWidth="1"/>
    <col min="19" max="19" width="10.7109375" hidden="1" customWidth="1" outlineLevel="1"/>
    <col min="20" max="20" width="14.7109375" hidden="1" customWidth="1" outlineLevel="1"/>
  </cols>
  <sheetData>
    <row r="1" spans="1:20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7</v>
      </c>
      <c r="K1" t="s">
        <v>9</v>
      </c>
      <c r="L1" t="s">
        <v>6</v>
      </c>
      <c r="M1" t="s">
        <v>10</v>
      </c>
      <c r="N1" t="s">
        <v>150</v>
      </c>
      <c r="O1" t="s">
        <v>16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</row>
    <row r="2" spans="1:20">
      <c r="A2" s="15" t="s">
        <v>96</v>
      </c>
      <c r="B2" s="16">
        <f>IF(Lignes_1_2[[#This Row],[Tâche]]="","",IFERROR(INDEX(Taches[[Description]],MATCH(Lignes_1_2[[#This Row],[Tâche]],Taches[[Entrée]],0)),""))</f>
        <v>0</v>
      </c>
      <c r="C2" s="15" t="s">
        <v>43</v>
      </c>
      <c r="D2" s="15" t="s">
        <v>162</v>
      </c>
      <c r="E2">
        <v>40</v>
      </c>
      <c r="G2">
        <v>180</v>
      </c>
      <c r="H2">
        <v>45</v>
      </c>
      <c r="I2" s="15" t="s">
        <v>55</v>
      </c>
      <c r="J2" s="16">
        <f>IF(Lignes_1_2[[#This Row],[Rôle ou catégorie]]="","",IFERROR(INDEX(Referentiel[[Nature]],MATCH(Lignes_1_2[[#This Row],[Rôle ou catégorie]],Referentiel[[Entrée]],0)),"?"))</f>
        <v>0</v>
      </c>
      <c r="K2" s="16">
        <f>IF(Lignes_1_2[[#This Row],[Rôle ou catégorie]]="","",IFERROR(INDEX(Referentiel[[Code comptable]],MATCH(Lignes_1_2[[#This Row],[Rôle ou catégorie]],Referentiel[[Entrée]],0)),"?"))</f>
        <v>0</v>
      </c>
      <c r="L2" s="16">
        <f>IF(Lignes_1_2[[#This Row],[Rôle ou catégorie]]="","",IFERROR(INDEX(Referentiel[[Service]],MATCH(Lignes_1_2[[#This Row],[Rôle ou catégorie]],Referentiel[[Entrée]],0)),"?")&amp;"")</f>
        <v>0</v>
      </c>
      <c r="M2" s="16">
        <f>IF(Lignes_1_2[[#This Row],[Rôle ou catégorie]]="","",IFERROR(INDEX(Referentiel[[Taux horaire]],MATCH(Lignes_1_2[[#This Row],[Rôle ou catégorie]],Referentiel[[Entrée]],0)),"?"))</f>
        <v>0</v>
      </c>
      <c r="N2" s="17">
        <f>IF(Lignes_1_2[[#This Row],[Rôle ou catégorie]]="","",IF(Lignes_1_2[[#This Row],[Type]]="Main-d’œuvre",Lignes_1_2[[#This Row],[Quantité]]*Lignes_1_2[[#This Row],[Heures]],0))</f>
        <v>0</v>
      </c>
      <c r="O2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" s="18">
        <f>IF(Lignes_1_2[[#This Row],[Rôle ou catégorie]]="","",Lignes_1_2[[#This Row],[Main-d’œuvre]]+Lignes_1_2[[#This Row],[Débours]])</f>
        <v>0</v>
      </c>
      <c r="R2" s="18">
        <v>7344</v>
      </c>
      <c r="S2" t="s">
        <v>163</v>
      </c>
      <c r="T2" s="16">
        <f>IF(Lignes_1_2[[#This Row],[Rôle ou catégorie]]="","",IFERROR(INDEX(Referentiel[[Type de nature]],MATCH(Lignes_1_2[[#This Row],[Rôle ou catégorie]],Referentiel[[Entrée]],0)),"?"))</f>
        <v>0</v>
      </c>
    </row>
    <row r="3" spans="1:20">
      <c r="A3" s="15" t="s">
        <v>96</v>
      </c>
      <c r="B3" s="16">
        <f>IF(Lignes_1_2[[#This Row],[Tâche]]="","",IFERROR(INDEX(Taches[[Description]],MATCH(Lignes_1_2[[#This Row],[Tâche]],Taches[[Entrée]],0)),""))</f>
        <v>0</v>
      </c>
      <c r="C3" s="15" t="s">
        <v>50</v>
      </c>
      <c r="D3" s="15" t="s">
        <v>164</v>
      </c>
      <c r="E3">
        <v>1</v>
      </c>
      <c r="G3">
        <v>1500</v>
      </c>
      <c r="I3" s="15"/>
      <c r="J3" s="16">
        <f>IF(Lignes_1_2[[#This Row],[Rôle ou catégorie]]="","",IFERROR(INDEX(Referentiel[[Nature]],MATCH(Lignes_1_2[[#This Row],[Rôle ou catégorie]],Referentiel[[Entrée]],0)),"?"))</f>
        <v>0</v>
      </c>
      <c r="K3" s="16">
        <f>IF(Lignes_1_2[[#This Row],[Rôle ou catégorie]]="","",IFERROR(INDEX(Referentiel[[Code comptable]],MATCH(Lignes_1_2[[#This Row],[Rôle ou catégorie]],Referentiel[[Entrée]],0)),"?"))</f>
        <v>0</v>
      </c>
      <c r="L3" s="16">
        <f>IF(Lignes_1_2[[#This Row],[Rôle ou catégorie]]="","",IFERROR(INDEX(Referentiel[[Service]],MATCH(Lignes_1_2[[#This Row],[Rôle ou catégorie]],Referentiel[[Entrée]],0)),"?")&amp;"")</f>
        <v>0</v>
      </c>
      <c r="M3" s="16">
        <f>IF(Lignes_1_2[[#This Row],[Rôle ou catégorie]]="","",IFERROR(INDEX(Referentiel[[Taux horaire]],MATCH(Lignes_1_2[[#This Row],[Rôle ou catégorie]],Referentiel[[Entrée]],0)),"?"))</f>
        <v>0</v>
      </c>
      <c r="N3" s="17">
        <f>IF(Lignes_1_2[[#This Row],[Rôle ou catégorie]]="","",IF(Lignes_1_2[[#This Row],[Type]]="Main-d’œuvre",Lignes_1_2[[#This Row],[Quantité]]*Lignes_1_2[[#This Row],[Heures]],0))</f>
        <v>0</v>
      </c>
      <c r="O3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3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3" s="18">
        <f>IF(Lignes_1_2[[#This Row],[Rôle ou catégorie]]="","",Lignes_1_2[[#This Row],[Main-d’œuvre]]+Lignes_1_2[[#This Row],[Débours]])</f>
        <v>0</v>
      </c>
      <c r="R3" s="18">
        <v>1530</v>
      </c>
      <c r="S3" t="s">
        <v>165</v>
      </c>
      <c r="T3" s="16">
        <f>IF(Lignes_1_2[[#This Row],[Rôle ou catégorie]]="","",IFERROR(INDEX(Referentiel[[Type de nature]],MATCH(Lignes_1_2[[#This Row],[Rôle ou catégorie]],Referentiel[[Entrée]],0)),"?"))</f>
        <v>0</v>
      </c>
    </row>
    <row r="4" spans="1:20">
      <c r="A4" s="15" t="s">
        <v>101</v>
      </c>
      <c r="B4" s="16">
        <f>IF(Lignes_1_2[[#This Row],[Tâche]]="","",IFERROR(INDEX(Taches[[Description]],MATCH(Lignes_1_2[[#This Row],[Tâche]],Taches[[Entrée]],0)),""))</f>
        <v>0</v>
      </c>
      <c r="C4" s="15" t="s">
        <v>46</v>
      </c>
      <c r="D4" s="15"/>
      <c r="E4">
        <v>1</v>
      </c>
      <c r="G4">
        <v>8500</v>
      </c>
      <c r="H4">
        <v>60</v>
      </c>
      <c r="I4" s="15" t="s">
        <v>57</v>
      </c>
      <c r="J4" s="16">
        <f>IF(Lignes_1_2[[#This Row],[Rôle ou catégorie]]="","",IFERROR(INDEX(Referentiel[[Nature]],MATCH(Lignes_1_2[[#This Row],[Rôle ou catégorie]],Referentiel[[Entrée]],0)),"?"))</f>
        <v>0</v>
      </c>
      <c r="K4" s="16">
        <f>IF(Lignes_1_2[[#This Row],[Rôle ou catégorie]]="","",IFERROR(INDEX(Referentiel[[Code comptable]],MATCH(Lignes_1_2[[#This Row],[Rôle ou catégorie]],Referentiel[[Entrée]],0)),"?"))</f>
        <v>0</v>
      </c>
      <c r="L4" s="16">
        <f>IF(Lignes_1_2[[#This Row],[Rôle ou catégorie]]="","",IFERROR(INDEX(Referentiel[[Service]],MATCH(Lignes_1_2[[#This Row],[Rôle ou catégorie]],Referentiel[[Entrée]],0)),"?")&amp;"")</f>
        <v>0</v>
      </c>
      <c r="M4" s="16">
        <f>IF(Lignes_1_2[[#This Row],[Rôle ou catégorie]]="","",IFERROR(INDEX(Referentiel[[Taux horaire]],MATCH(Lignes_1_2[[#This Row],[Rôle ou catégorie]],Referentiel[[Entrée]],0)),"?"))</f>
        <v>0</v>
      </c>
      <c r="N4" s="17">
        <f>IF(Lignes_1_2[[#This Row],[Rôle ou catégorie]]="","",IF(Lignes_1_2[[#This Row],[Type]]="Main-d’œuvre",Lignes_1_2[[#This Row],[Quantité]]*Lignes_1_2[[#This Row],[Heures]],0))</f>
        <v>0</v>
      </c>
      <c r="O4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4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4" s="18">
        <f>IF(Lignes_1_2[[#This Row],[Rôle ou catégorie]]="","",Lignes_1_2[[#This Row],[Main-d’œuvre]]+Lignes_1_2[[#This Row],[Débours]])</f>
        <v>0</v>
      </c>
      <c r="R4" s="18">
        <v>8670</v>
      </c>
      <c r="S4" t="s">
        <v>166</v>
      </c>
      <c r="T4" s="16">
        <f>IF(Lignes_1_2[[#This Row],[Rôle ou catégorie]]="","",IFERROR(INDEX(Referentiel[[Type de nature]],MATCH(Lignes_1_2[[#This Row],[Rôle ou catégorie]],Referentiel[[Entrée]],0)),"?"))</f>
        <v>0</v>
      </c>
    </row>
    <row r="5" spans="1:20">
      <c r="A5" s="15"/>
      <c r="B5" s="16">
        <f>IF(Lignes_1_2[[#This Row],[Tâche]]="","",IFERROR(INDEX(Taches[[Description]],MATCH(Lignes_1_2[[#This Row],[Tâche]],Taches[[Entrée]],0)),""))</f>
        <v>0</v>
      </c>
      <c r="C5" s="15"/>
      <c r="D5" s="15"/>
      <c r="I5" s="15"/>
      <c r="J5" s="16">
        <f>IF(Lignes_1_2[[#This Row],[Rôle ou catégorie]]="","",IFERROR(INDEX(Referentiel[[Nature]],MATCH(Lignes_1_2[[#This Row],[Rôle ou catégorie]],Referentiel[[Entrée]],0)),"?"))</f>
        <v>0</v>
      </c>
      <c r="K5" s="16">
        <f>IF(Lignes_1_2[[#This Row],[Rôle ou catégorie]]="","",IFERROR(INDEX(Referentiel[[Code comptable]],MATCH(Lignes_1_2[[#This Row],[Rôle ou catégorie]],Referentiel[[Entrée]],0)),"?"))</f>
        <v>0</v>
      </c>
      <c r="L5" s="16">
        <f>IF(Lignes_1_2[[#This Row],[Rôle ou catégorie]]="","",IFERROR(INDEX(Referentiel[[Service]],MATCH(Lignes_1_2[[#This Row],[Rôle ou catégorie]],Referentiel[[Entrée]],0)),"?")&amp;"")</f>
        <v>0</v>
      </c>
      <c r="M5" s="16">
        <f>IF(Lignes_1_2[[#This Row],[Rôle ou catégorie]]="","",IFERROR(INDEX(Referentiel[[Taux horaire]],MATCH(Lignes_1_2[[#This Row],[Rôle ou catégorie]],Referentiel[[Entrée]],0)),"?"))</f>
        <v>0</v>
      </c>
      <c r="N5" s="17">
        <f>IF(Lignes_1_2[[#This Row],[Rôle ou catégorie]]="","",IF(Lignes_1_2[[#This Row],[Type]]="Main-d’œuvre",Lignes_1_2[[#This Row],[Quantité]]*Lignes_1_2[[#This Row],[Heures]],0))</f>
        <v>0</v>
      </c>
      <c r="O5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5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5" s="18">
        <f>IF(Lignes_1_2[[#This Row],[Rôle ou catégorie]]="","",Lignes_1_2[[#This Row],[Main-d’œuvre]]+Lignes_1_2[[#This Row],[Débours]])</f>
        <v>0</v>
      </c>
      <c r="R5" s="18"/>
      <c r="T5" s="16">
        <f>IF(Lignes_1_2[[#This Row],[Rôle ou catégorie]]="","",IFERROR(INDEX(Referentiel[[Type de nature]],MATCH(Lignes_1_2[[#This Row],[Rôle ou catégorie]],Referentiel[[Entrée]],0)),"?"))</f>
        <v>0</v>
      </c>
    </row>
    <row r="6" spans="1:20">
      <c r="A6" s="15"/>
      <c r="B6" s="16">
        <f>IF(Lignes_1_2[[#This Row],[Tâche]]="","",IFERROR(INDEX(Taches[[Description]],MATCH(Lignes_1_2[[#This Row],[Tâche]],Taches[[Entrée]],0)),""))</f>
        <v>0</v>
      </c>
      <c r="C6" s="15"/>
      <c r="D6" s="15"/>
      <c r="I6" s="15"/>
      <c r="J6" s="16">
        <f>IF(Lignes_1_2[[#This Row],[Rôle ou catégorie]]="","",IFERROR(INDEX(Referentiel[[Nature]],MATCH(Lignes_1_2[[#This Row],[Rôle ou catégorie]],Referentiel[[Entrée]],0)),"?"))</f>
        <v>0</v>
      </c>
      <c r="K6" s="16">
        <f>IF(Lignes_1_2[[#This Row],[Rôle ou catégorie]]="","",IFERROR(INDEX(Referentiel[[Code comptable]],MATCH(Lignes_1_2[[#This Row],[Rôle ou catégorie]],Referentiel[[Entrée]],0)),"?"))</f>
        <v>0</v>
      </c>
      <c r="L6" s="16">
        <f>IF(Lignes_1_2[[#This Row],[Rôle ou catégorie]]="","",IFERROR(INDEX(Referentiel[[Service]],MATCH(Lignes_1_2[[#This Row],[Rôle ou catégorie]],Referentiel[[Entrée]],0)),"?")&amp;"")</f>
        <v>0</v>
      </c>
      <c r="M6" s="16">
        <f>IF(Lignes_1_2[[#This Row],[Rôle ou catégorie]]="","",IFERROR(INDEX(Referentiel[[Taux horaire]],MATCH(Lignes_1_2[[#This Row],[Rôle ou catégorie]],Referentiel[[Entrée]],0)),"?"))</f>
        <v>0</v>
      </c>
      <c r="N6" s="17">
        <f>IF(Lignes_1_2[[#This Row],[Rôle ou catégorie]]="","",IF(Lignes_1_2[[#This Row],[Type]]="Main-d’œuvre",Lignes_1_2[[#This Row],[Quantité]]*Lignes_1_2[[#This Row],[Heures]],0))</f>
        <v>0</v>
      </c>
      <c r="O6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6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6" s="18">
        <f>IF(Lignes_1_2[[#This Row],[Rôle ou catégorie]]="","",Lignes_1_2[[#This Row],[Main-d’œuvre]]+Lignes_1_2[[#This Row],[Débours]])</f>
        <v>0</v>
      </c>
      <c r="R6" s="18"/>
      <c r="T6" s="16">
        <f>IF(Lignes_1_2[[#This Row],[Rôle ou catégorie]]="","",IFERROR(INDEX(Referentiel[[Type de nature]],MATCH(Lignes_1_2[[#This Row],[Rôle ou catégorie]],Referentiel[[Entrée]],0)),"?"))</f>
        <v>0</v>
      </c>
    </row>
    <row r="7" spans="1:20">
      <c r="A7" s="15"/>
      <c r="B7" s="16">
        <f>IF(Lignes_1_2[[#This Row],[Tâche]]="","",IFERROR(INDEX(Taches[[Description]],MATCH(Lignes_1_2[[#This Row],[Tâche]],Taches[[Entrée]],0)),""))</f>
        <v>0</v>
      </c>
      <c r="C7" s="15"/>
      <c r="D7" s="15"/>
      <c r="I7" s="15"/>
      <c r="J7" s="16">
        <f>IF(Lignes_1_2[[#This Row],[Rôle ou catégorie]]="","",IFERROR(INDEX(Referentiel[[Nature]],MATCH(Lignes_1_2[[#This Row],[Rôle ou catégorie]],Referentiel[[Entrée]],0)),"?"))</f>
        <v>0</v>
      </c>
      <c r="K7" s="16">
        <f>IF(Lignes_1_2[[#This Row],[Rôle ou catégorie]]="","",IFERROR(INDEX(Referentiel[[Code comptable]],MATCH(Lignes_1_2[[#This Row],[Rôle ou catégorie]],Referentiel[[Entrée]],0)),"?"))</f>
        <v>0</v>
      </c>
      <c r="L7" s="16">
        <f>IF(Lignes_1_2[[#This Row],[Rôle ou catégorie]]="","",IFERROR(INDEX(Referentiel[[Service]],MATCH(Lignes_1_2[[#This Row],[Rôle ou catégorie]],Referentiel[[Entrée]],0)),"?")&amp;"")</f>
        <v>0</v>
      </c>
      <c r="M7" s="16">
        <f>IF(Lignes_1_2[[#This Row],[Rôle ou catégorie]]="","",IFERROR(INDEX(Referentiel[[Taux horaire]],MATCH(Lignes_1_2[[#This Row],[Rôle ou catégorie]],Referentiel[[Entrée]],0)),"?"))</f>
        <v>0</v>
      </c>
      <c r="N7" s="17">
        <f>IF(Lignes_1_2[[#This Row],[Rôle ou catégorie]]="","",IF(Lignes_1_2[[#This Row],[Type]]="Main-d’œuvre",Lignes_1_2[[#This Row],[Quantité]]*Lignes_1_2[[#This Row],[Heures]],0))</f>
        <v>0</v>
      </c>
      <c r="O7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7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7" s="18">
        <f>IF(Lignes_1_2[[#This Row],[Rôle ou catégorie]]="","",Lignes_1_2[[#This Row],[Main-d’œuvre]]+Lignes_1_2[[#This Row],[Débours]])</f>
        <v>0</v>
      </c>
      <c r="R7" s="18"/>
      <c r="T7" s="16">
        <f>IF(Lignes_1_2[[#This Row],[Rôle ou catégorie]]="","",IFERROR(INDEX(Referentiel[[Type de nature]],MATCH(Lignes_1_2[[#This Row],[Rôle ou catégorie]],Referentiel[[Entrée]],0)),"?"))</f>
        <v>0</v>
      </c>
    </row>
    <row r="8" spans="1:20">
      <c r="A8" s="15"/>
      <c r="B8" s="16">
        <f>IF(Lignes_1_2[[#This Row],[Tâche]]="","",IFERROR(INDEX(Taches[[Description]],MATCH(Lignes_1_2[[#This Row],[Tâche]],Taches[[Entrée]],0)),""))</f>
        <v>0</v>
      </c>
      <c r="C8" s="15"/>
      <c r="D8" s="15"/>
      <c r="I8" s="15"/>
      <c r="J8" s="16">
        <f>IF(Lignes_1_2[[#This Row],[Rôle ou catégorie]]="","",IFERROR(INDEX(Referentiel[[Nature]],MATCH(Lignes_1_2[[#This Row],[Rôle ou catégorie]],Referentiel[[Entrée]],0)),"?"))</f>
        <v>0</v>
      </c>
      <c r="K8" s="16">
        <f>IF(Lignes_1_2[[#This Row],[Rôle ou catégorie]]="","",IFERROR(INDEX(Referentiel[[Code comptable]],MATCH(Lignes_1_2[[#This Row],[Rôle ou catégorie]],Referentiel[[Entrée]],0)),"?"))</f>
        <v>0</v>
      </c>
      <c r="L8" s="16">
        <f>IF(Lignes_1_2[[#This Row],[Rôle ou catégorie]]="","",IFERROR(INDEX(Referentiel[[Service]],MATCH(Lignes_1_2[[#This Row],[Rôle ou catégorie]],Referentiel[[Entrée]],0)),"?")&amp;"")</f>
        <v>0</v>
      </c>
      <c r="M8" s="16">
        <f>IF(Lignes_1_2[[#This Row],[Rôle ou catégorie]]="","",IFERROR(INDEX(Referentiel[[Taux horaire]],MATCH(Lignes_1_2[[#This Row],[Rôle ou catégorie]],Referentiel[[Entrée]],0)),"?"))</f>
        <v>0</v>
      </c>
      <c r="N8" s="17">
        <f>IF(Lignes_1_2[[#This Row],[Rôle ou catégorie]]="","",IF(Lignes_1_2[[#This Row],[Type]]="Main-d’œuvre",Lignes_1_2[[#This Row],[Quantité]]*Lignes_1_2[[#This Row],[Heures]],0))</f>
        <v>0</v>
      </c>
      <c r="O8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8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8" s="18">
        <f>IF(Lignes_1_2[[#This Row],[Rôle ou catégorie]]="","",Lignes_1_2[[#This Row],[Main-d’œuvre]]+Lignes_1_2[[#This Row],[Débours]])</f>
        <v>0</v>
      </c>
      <c r="R8" s="18"/>
      <c r="T8" s="16">
        <f>IF(Lignes_1_2[[#This Row],[Rôle ou catégorie]]="","",IFERROR(INDEX(Referentiel[[Type de nature]],MATCH(Lignes_1_2[[#This Row],[Rôle ou catégorie]],Referentiel[[Entrée]],0)),"?"))</f>
        <v>0</v>
      </c>
    </row>
    <row r="9" spans="1:20">
      <c r="A9" s="15"/>
      <c r="B9" s="16">
        <f>IF(Lignes_1_2[[#This Row],[Tâche]]="","",IFERROR(INDEX(Taches[[Description]],MATCH(Lignes_1_2[[#This Row],[Tâche]],Taches[[Entrée]],0)),""))</f>
        <v>0</v>
      </c>
      <c r="C9" s="15"/>
      <c r="D9" s="15"/>
      <c r="I9" s="15"/>
      <c r="J9" s="16">
        <f>IF(Lignes_1_2[[#This Row],[Rôle ou catégorie]]="","",IFERROR(INDEX(Referentiel[[Nature]],MATCH(Lignes_1_2[[#This Row],[Rôle ou catégorie]],Referentiel[[Entrée]],0)),"?"))</f>
        <v>0</v>
      </c>
      <c r="K9" s="16">
        <f>IF(Lignes_1_2[[#This Row],[Rôle ou catégorie]]="","",IFERROR(INDEX(Referentiel[[Code comptable]],MATCH(Lignes_1_2[[#This Row],[Rôle ou catégorie]],Referentiel[[Entrée]],0)),"?"))</f>
        <v>0</v>
      </c>
      <c r="L9" s="16">
        <f>IF(Lignes_1_2[[#This Row],[Rôle ou catégorie]]="","",IFERROR(INDEX(Referentiel[[Service]],MATCH(Lignes_1_2[[#This Row],[Rôle ou catégorie]],Referentiel[[Entrée]],0)),"?")&amp;"")</f>
        <v>0</v>
      </c>
      <c r="M9" s="16">
        <f>IF(Lignes_1_2[[#This Row],[Rôle ou catégorie]]="","",IFERROR(INDEX(Referentiel[[Taux horaire]],MATCH(Lignes_1_2[[#This Row],[Rôle ou catégorie]],Referentiel[[Entrée]],0)),"?"))</f>
        <v>0</v>
      </c>
      <c r="N9" s="17">
        <f>IF(Lignes_1_2[[#This Row],[Rôle ou catégorie]]="","",IF(Lignes_1_2[[#This Row],[Type]]="Main-d’œuvre",Lignes_1_2[[#This Row],[Quantité]]*Lignes_1_2[[#This Row],[Heures]],0))</f>
        <v>0</v>
      </c>
      <c r="O9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9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9" s="18">
        <f>IF(Lignes_1_2[[#This Row],[Rôle ou catégorie]]="","",Lignes_1_2[[#This Row],[Main-d’œuvre]]+Lignes_1_2[[#This Row],[Débours]])</f>
        <v>0</v>
      </c>
      <c r="R9" s="18"/>
      <c r="T9" s="16">
        <f>IF(Lignes_1_2[[#This Row],[Rôle ou catégorie]]="","",IFERROR(INDEX(Referentiel[[Type de nature]],MATCH(Lignes_1_2[[#This Row],[Rôle ou catégorie]],Referentiel[[Entrée]],0)),"?"))</f>
        <v>0</v>
      </c>
    </row>
    <row r="10" spans="1:20">
      <c r="A10" s="15"/>
      <c r="B10" s="16">
        <f>IF(Lignes_1_2[[#This Row],[Tâche]]="","",IFERROR(INDEX(Taches[[Description]],MATCH(Lignes_1_2[[#This Row],[Tâche]],Taches[[Entrée]],0)),""))</f>
        <v>0</v>
      </c>
      <c r="C10" s="15"/>
      <c r="D10" s="15"/>
      <c r="I10" s="15"/>
      <c r="J10" s="16">
        <f>IF(Lignes_1_2[[#This Row],[Rôle ou catégorie]]="","",IFERROR(INDEX(Referentiel[[Nature]],MATCH(Lignes_1_2[[#This Row],[Rôle ou catégorie]],Referentiel[[Entrée]],0)),"?"))</f>
        <v>0</v>
      </c>
      <c r="K10" s="16">
        <f>IF(Lignes_1_2[[#This Row],[Rôle ou catégorie]]="","",IFERROR(INDEX(Referentiel[[Code comptable]],MATCH(Lignes_1_2[[#This Row],[Rôle ou catégorie]],Referentiel[[Entrée]],0)),"?"))</f>
        <v>0</v>
      </c>
      <c r="L10" s="16">
        <f>IF(Lignes_1_2[[#This Row],[Rôle ou catégorie]]="","",IFERROR(INDEX(Referentiel[[Service]],MATCH(Lignes_1_2[[#This Row],[Rôle ou catégorie]],Referentiel[[Entrée]],0)),"?")&amp;"")</f>
        <v>0</v>
      </c>
      <c r="M10" s="16">
        <f>IF(Lignes_1_2[[#This Row],[Rôle ou catégorie]]="","",IFERROR(INDEX(Referentiel[[Taux horaire]],MATCH(Lignes_1_2[[#This Row],[Rôle ou catégorie]],Referentiel[[Entrée]],0)),"?"))</f>
        <v>0</v>
      </c>
      <c r="N10" s="17">
        <f>IF(Lignes_1_2[[#This Row],[Rôle ou catégorie]]="","",IF(Lignes_1_2[[#This Row],[Type]]="Main-d’œuvre",Lignes_1_2[[#This Row],[Quantité]]*Lignes_1_2[[#This Row],[Heures]],0))</f>
        <v>0</v>
      </c>
      <c r="O10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0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0" s="18">
        <f>IF(Lignes_1_2[[#This Row],[Rôle ou catégorie]]="","",Lignes_1_2[[#This Row],[Main-d’œuvre]]+Lignes_1_2[[#This Row],[Débours]])</f>
        <v>0</v>
      </c>
      <c r="R10" s="18"/>
      <c r="T10" s="16">
        <f>IF(Lignes_1_2[[#This Row],[Rôle ou catégorie]]="","",IFERROR(INDEX(Referentiel[[Type de nature]],MATCH(Lignes_1_2[[#This Row],[Rôle ou catégorie]],Referentiel[[Entrée]],0)),"?"))</f>
        <v>0</v>
      </c>
    </row>
    <row r="11" spans="1:20">
      <c r="A11" s="15"/>
      <c r="B11" s="16">
        <f>IF(Lignes_1_2[[#This Row],[Tâche]]="","",IFERROR(INDEX(Taches[[Description]],MATCH(Lignes_1_2[[#This Row],[Tâche]],Taches[[Entrée]],0)),""))</f>
        <v>0</v>
      </c>
      <c r="C11" s="15"/>
      <c r="D11" s="15"/>
      <c r="I11" s="15"/>
      <c r="J11" s="16">
        <f>IF(Lignes_1_2[[#This Row],[Rôle ou catégorie]]="","",IFERROR(INDEX(Referentiel[[Nature]],MATCH(Lignes_1_2[[#This Row],[Rôle ou catégorie]],Referentiel[[Entrée]],0)),"?"))</f>
        <v>0</v>
      </c>
      <c r="K11" s="16">
        <f>IF(Lignes_1_2[[#This Row],[Rôle ou catégorie]]="","",IFERROR(INDEX(Referentiel[[Code comptable]],MATCH(Lignes_1_2[[#This Row],[Rôle ou catégorie]],Referentiel[[Entrée]],0)),"?"))</f>
        <v>0</v>
      </c>
      <c r="L11" s="16">
        <f>IF(Lignes_1_2[[#This Row],[Rôle ou catégorie]]="","",IFERROR(INDEX(Referentiel[[Service]],MATCH(Lignes_1_2[[#This Row],[Rôle ou catégorie]],Referentiel[[Entrée]],0)),"?")&amp;"")</f>
        <v>0</v>
      </c>
      <c r="M11" s="16">
        <f>IF(Lignes_1_2[[#This Row],[Rôle ou catégorie]]="","",IFERROR(INDEX(Referentiel[[Taux horaire]],MATCH(Lignes_1_2[[#This Row],[Rôle ou catégorie]],Referentiel[[Entrée]],0)),"?"))</f>
        <v>0</v>
      </c>
      <c r="N11" s="17">
        <f>IF(Lignes_1_2[[#This Row],[Rôle ou catégorie]]="","",IF(Lignes_1_2[[#This Row],[Type]]="Main-d’œuvre",Lignes_1_2[[#This Row],[Quantité]]*Lignes_1_2[[#This Row],[Heures]],0))</f>
        <v>0</v>
      </c>
      <c r="O11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1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1" s="18">
        <f>IF(Lignes_1_2[[#This Row],[Rôle ou catégorie]]="","",Lignes_1_2[[#This Row],[Main-d’œuvre]]+Lignes_1_2[[#This Row],[Débours]])</f>
        <v>0</v>
      </c>
      <c r="R11" s="18"/>
      <c r="T11" s="16">
        <f>IF(Lignes_1_2[[#This Row],[Rôle ou catégorie]]="","",IFERROR(INDEX(Referentiel[[Type de nature]],MATCH(Lignes_1_2[[#This Row],[Rôle ou catégorie]],Referentiel[[Entrée]],0)),"?"))</f>
        <v>0</v>
      </c>
    </row>
    <row r="12" spans="1:20">
      <c r="A12" s="15"/>
      <c r="B12" s="16">
        <f>IF(Lignes_1_2[[#This Row],[Tâche]]="","",IFERROR(INDEX(Taches[[Description]],MATCH(Lignes_1_2[[#This Row],[Tâche]],Taches[[Entrée]],0)),""))</f>
        <v>0</v>
      </c>
      <c r="C12" s="15"/>
      <c r="D12" s="15"/>
      <c r="I12" s="15"/>
      <c r="J12" s="16">
        <f>IF(Lignes_1_2[[#This Row],[Rôle ou catégorie]]="","",IFERROR(INDEX(Referentiel[[Nature]],MATCH(Lignes_1_2[[#This Row],[Rôle ou catégorie]],Referentiel[[Entrée]],0)),"?"))</f>
        <v>0</v>
      </c>
      <c r="K12" s="16">
        <f>IF(Lignes_1_2[[#This Row],[Rôle ou catégorie]]="","",IFERROR(INDEX(Referentiel[[Code comptable]],MATCH(Lignes_1_2[[#This Row],[Rôle ou catégorie]],Referentiel[[Entrée]],0)),"?"))</f>
        <v>0</v>
      </c>
      <c r="L12" s="16">
        <f>IF(Lignes_1_2[[#This Row],[Rôle ou catégorie]]="","",IFERROR(INDEX(Referentiel[[Service]],MATCH(Lignes_1_2[[#This Row],[Rôle ou catégorie]],Referentiel[[Entrée]],0)),"?")&amp;"")</f>
        <v>0</v>
      </c>
      <c r="M12" s="16">
        <f>IF(Lignes_1_2[[#This Row],[Rôle ou catégorie]]="","",IFERROR(INDEX(Referentiel[[Taux horaire]],MATCH(Lignes_1_2[[#This Row],[Rôle ou catégorie]],Referentiel[[Entrée]],0)),"?"))</f>
        <v>0</v>
      </c>
      <c r="N12" s="17">
        <f>IF(Lignes_1_2[[#This Row],[Rôle ou catégorie]]="","",IF(Lignes_1_2[[#This Row],[Type]]="Main-d’œuvre",Lignes_1_2[[#This Row],[Quantité]]*Lignes_1_2[[#This Row],[Heures]],0))</f>
        <v>0</v>
      </c>
      <c r="O12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2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2" s="18">
        <f>IF(Lignes_1_2[[#This Row],[Rôle ou catégorie]]="","",Lignes_1_2[[#This Row],[Main-d’œuvre]]+Lignes_1_2[[#This Row],[Débours]])</f>
        <v>0</v>
      </c>
      <c r="R12" s="18"/>
      <c r="T12" s="16">
        <f>IF(Lignes_1_2[[#This Row],[Rôle ou catégorie]]="","",IFERROR(INDEX(Referentiel[[Type de nature]],MATCH(Lignes_1_2[[#This Row],[Rôle ou catégorie]],Referentiel[[Entrée]],0)),"?"))</f>
        <v>0</v>
      </c>
    </row>
    <row r="13" spans="1:20">
      <c r="A13" s="15"/>
      <c r="B13" s="16">
        <f>IF(Lignes_1_2[[#This Row],[Tâche]]="","",IFERROR(INDEX(Taches[[Description]],MATCH(Lignes_1_2[[#This Row],[Tâche]],Taches[[Entrée]],0)),""))</f>
        <v>0</v>
      </c>
      <c r="C13" s="15"/>
      <c r="D13" s="15"/>
      <c r="I13" s="15"/>
      <c r="J13" s="16">
        <f>IF(Lignes_1_2[[#This Row],[Rôle ou catégorie]]="","",IFERROR(INDEX(Referentiel[[Nature]],MATCH(Lignes_1_2[[#This Row],[Rôle ou catégorie]],Referentiel[[Entrée]],0)),"?"))</f>
        <v>0</v>
      </c>
      <c r="K13" s="16">
        <f>IF(Lignes_1_2[[#This Row],[Rôle ou catégorie]]="","",IFERROR(INDEX(Referentiel[[Code comptable]],MATCH(Lignes_1_2[[#This Row],[Rôle ou catégorie]],Referentiel[[Entrée]],0)),"?"))</f>
        <v>0</v>
      </c>
      <c r="L13" s="16">
        <f>IF(Lignes_1_2[[#This Row],[Rôle ou catégorie]]="","",IFERROR(INDEX(Referentiel[[Service]],MATCH(Lignes_1_2[[#This Row],[Rôle ou catégorie]],Referentiel[[Entrée]],0)),"?")&amp;"")</f>
        <v>0</v>
      </c>
      <c r="M13" s="16">
        <f>IF(Lignes_1_2[[#This Row],[Rôle ou catégorie]]="","",IFERROR(INDEX(Referentiel[[Taux horaire]],MATCH(Lignes_1_2[[#This Row],[Rôle ou catégorie]],Referentiel[[Entrée]],0)),"?"))</f>
        <v>0</v>
      </c>
      <c r="N13" s="17">
        <f>IF(Lignes_1_2[[#This Row],[Rôle ou catégorie]]="","",IF(Lignes_1_2[[#This Row],[Type]]="Main-d’œuvre",Lignes_1_2[[#This Row],[Quantité]]*Lignes_1_2[[#This Row],[Heures]],0))</f>
        <v>0</v>
      </c>
      <c r="O13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3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3" s="18">
        <f>IF(Lignes_1_2[[#This Row],[Rôle ou catégorie]]="","",Lignes_1_2[[#This Row],[Main-d’œuvre]]+Lignes_1_2[[#This Row],[Débours]])</f>
        <v>0</v>
      </c>
      <c r="R13" s="18"/>
      <c r="T13" s="16">
        <f>IF(Lignes_1_2[[#This Row],[Rôle ou catégorie]]="","",IFERROR(INDEX(Referentiel[[Type de nature]],MATCH(Lignes_1_2[[#This Row],[Rôle ou catégorie]],Referentiel[[Entrée]],0)),"?"))</f>
        <v>0</v>
      </c>
    </row>
    <row r="14" spans="1:20">
      <c r="A14" s="15"/>
      <c r="B14" s="16">
        <f>IF(Lignes_1_2[[#This Row],[Tâche]]="","",IFERROR(INDEX(Taches[[Description]],MATCH(Lignes_1_2[[#This Row],[Tâche]],Taches[[Entrée]],0)),""))</f>
        <v>0</v>
      </c>
      <c r="C14" s="15"/>
      <c r="D14" s="15"/>
      <c r="I14" s="15"/>
      <c r="J14" s="16">
        <f>IF(Lignes_1_2[[#This Row],[Rôle ou catégorie]]="","",IFERROR(INDEX(Referentiel[[Nature]],MATCH(Lignes_1_2[[#This Row],[Rôle ou catégorie]],Referentiel[[Entrée]],0)),"?"))</f>
        <v>0</v>
      </c>
      <c r="K14" s="16">
        <f>IF(Lignes_1_2[[#This Row],[Rôle ou catégorie]]="","",IFERROR(INDEX(Referentiel[[Code comptable]],MATCH(Lignes_1_2[[#This Row],[Rôle ou catégorie]],Referentiel[[Entrée]],0)),"?"))</f>
        <v>0</v>
      </c>
      <c r="L14" s="16">
        <f>IF(Lignes_1_2[[#This Row],[Rôle ou catégorie]]="","",IFERROR(INDEX(Referentiel[[Service]],MATCH(Lignes_1_2[[#This Row],[Rôle ou catégorie]],Referentiel[[Entrée]],0)),"?")&amp;"")</f>
        <v>0</v>
      </c>
      <c r="M14" s="16">
        <f>IF(Lignes_1_2[[#This Row],[Rôle ou catégorie]]="","",IFERROR(INDEX(Referentiel[[Taux horaire]],MATCH(Lignes_1_2[[#This Row],[Rôle ou catégorie]],Referentiel[[Entrée]],0)),"?"))</f>
        <v>0</v>
      </c>
      <c r="N14" s="17">
        <f>IF(Lignes_1_2[[#This Row],[Rôle ou catégorie]]="","",IF(Lignes_1_2[[#This Row],[Type]]="Main-d’œuvre",Lignes_1_2[[#This Row],[Quantité]]*Lignes_1_2[[#This Row],[Heures]],0))</f>
        <v>0</v>
      </c>
      <c r="O14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4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4" s="18">
        <f>IF(Lignes_1_2[[#This Row],[Rôle ou catégorie]]="","",Lignes_1_2[[#This Row],[Main-d’œuvre]]+Lignes_1_2[[#This Row],[Débours]])</f>
        <v>0</v>
      </c>
      <c r="R14" s="18"/>
      <c r="T14" s="16">
        <f>IF(Lignes_1_2[[#This Row],[Rôle ou catégorie]]="","",IFERROR(INDEX(Referentiel[[Type de nature]],MATCH(Lignes_1_2[[#This Row],[Rôle ou catégorie]],Referentiel[[Entrée]],0)),"?"))</f>
        <v>0</v>
      </c>
    </row>
    <row r="15" spans="1:20">
      <c r="A15" s="15"/>
      <c r="B15" s="16">
        <f>IF(Lignes_1_2[[#This Row],[Tâche]]="","",IFERROR(INDEX(Taches[[Description]],MATCH(Lignes_1_2[[#This Row],[Tâche]],Taches[[Entrée]],0)),""))</f>
        <v>0</v>
      </c>
      <c r="C15" s="15"/>
      <c r="D15" s="15"/>
      <c r="I15" s="15"/>
      <c r="J15" s="16">
        <f>IF(Lignes_1_2[[#This Row],[Rôle ou catégorie]]="","",IFERROR(INDEX(Referentiel[[Nature]],MATCH(Lignes_1_2[[#This Row],[Rôle ou catégorie]],Referentiel[[Entrée]],0)),"?"))</f>
        <v>0</v>
      </c>
      <c r="K15" s="16">
        <f>IF(Lignes_1_2[[#This Row],[Rôle ou catégorie]]="","",IFERROR(INDEX(Referentiel[[Code comptable]],MATCH(Lignes_1_2[[#This Row],[Rôle ou catégorie]],Referentiel[[Entrée]],0)),"?"))</f>
        <v>0</v>
      </c>
      <c r="L15" s="16">
        <f>IF(Lignes_1_2[[#This Row],[Rôle ou catégorie]]="","",IFERROR(INDEX(Referentiel[[Service]],MATCH(Lignes_1_2[[#This Row],[Rôle ou catégorie]],Referentiel[[Entrée]],0)),"?")&amp;"")</f>
        <v>0</v>
      </c>
      <c r="M15" s="16">
        <f>IF(Lignes_1_2[[#This Row],[Rôle ou catégorie]]="","",IFERROR(INDEX(Referentiel[[Taux horaire]],MATCH(Lignes_1_2[[#This Row],[Rôle ou catégorie]],Referentiel[[Entrée]],0)),"?"))</f>
        <v>0</v>
      </c>
      <c r="N15" s="17">
        <f>IF(Lignes_1_2[[#This Row],[Rôle ou catégorie]]="","",IF(Lignes_1_2[[#This Row],[Type]]="Main-d’œuvre",Lignes_1_2[[#This Row],[Quantité]]*Lignes_1_2[[#This Row],[Heures]],0))</f>
        <v>0</v>
      </c>
      <c r="O15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5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5" s="18">
        <f>IF(Lignes_1_2[[#This Row],[Rôle ou catégorie]]="","",Lignes_1_2[[#This Row],[Main-d’œuvre]]+Lignes_1_2[[#This Row],[Débours]])</f>
        <v>0</v>
      </c>
      <c r="R15" s="18"/>
      <c r="T15" s="16">
        <f>IF(Lignes_1_2[[#This Row],[Rôle ou catégorie]]="","",IFERROR(INDEX(Referentiel[[Type de nature]],MATCH(Lignes_1_2[[#This Row],[Rôle ou catégorie]],Referentiel[[Entrée]],0)),"?"))</f>
        <v>0</v>
      </c>
    </row>
    <row r="16" spans="1:20">
      <c r="A16" s="15"/>
      <c r="B16" s="16">
        <f>IF(Lignes_1_2[[#This Row],[Tâche]]="","",IFERROR(INDEX(Taches[[Description]],MATCH(Lignes_1_2[[#This Row],[Tâche]],Taches[[Entrée]],0)),""))</f>
        <v>0</v>
      </c>
      <c r="C16" s="15"/>
      <c r="D16" s="15"/>
      <c r="I16" s="15"/>
      <c r="J16" s="16">
        <f>IF(Lignes_1_2[[#This Row],[Rôle ou catégorie]]="","",IFERROR(INDEX(Referentiel[[Nature]],MATCH(Lignes_1_2[[#This Row],[Rôle ou catégorie]],Referentiel[[Entrée]],0)),"?"))</f>
        <v>0</v>
      </c>
      <c r="K16" s="16">
        <f>IF(Lignes_1_2[[#This Row],[Rôle ou catégorie]]="","",IFERROR(INDEX(Referentiel[[Code comptable]],MATCH(Lignes_1_2[[#This Row],[Rôle ou catégorie]],Referentiel[[Entrée]],0)),"?"))</f>
        <v>0</v>
      </c>
      <c r="L16" s="16">
        <f>IF(Lignes_1_2[[#This Row],[Rôle ou catégorie]]="","",IFERROR(INDEX(Referentiel[[Service]],MATCH(Lignes_1_2[[#This Row],[Rôle ou catégorie]],Referentiel[[Entrée]],0)),"?")&amp;"")</f>
        <v>0</v>
      </c>
      <c r="M16" s="16">
        <f>IF(Lignes_1_2[[#This Row],[Rôle ou catégorie]]="","",IFERROR(INDEX(Referentiel[[Taux horaire]],MATCH(Lignes_1_2[[#This Row],[Rôle ou catégorie]],Referentiel[[Entrée]],0)),"?"))</f>
        <v>0</v>
      </c>
      <c r="N16" s="17">
        <f>IF(Lignes_1_2[[#This Row],[Rôle ou catégorie]]="","",IF(Lignes_1_2[[#This Row],[Type]]="Main-d’œuvre",Lignes_1_2[[#This Row],[Quantité]]*Lignes_1_2[[#This Row],[Heures]],0))</f>
        <v>0</v>
      </c>
      <c r="O16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6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6" s="18">
        <f>IF(Lignes_1_2[[#This Row],[Rôle ou catégorie]]="","",Lignes_1_2[[#This Row],[Main-d’œuvre]]+Lignes_1_2[[#This Row],[Débours]])</f>
        <v>0</v>
      </c>
      <c r="R16" s="18"/>
      <c r="T16" s="16">
        <f>IF(Lignes_1_2[[#This Row],[Rôle ou catégorie]]="","",IFERROR(INDEX(Referentiel[[Type de nature]],MATCH(Lignes_1_2[[#This Row],[Rôle ou catégorie]],Referentiel[[Entrée]],0)),"?"))</f>
        <v>0</v>
      </c>
    </row>
    <row r="17" spans="1:20">
      <c r="A17" s="15"/>
      <c r="B17" s="16">
        <f>IF(Lignes_1_2[[#This Row],[Tâche]]="","",IFERROR(INDEX(Taches[[Description]],MATCH(Lignes_1_2[[#This Row],[Tâche]],Taches[[Entrée]],0)),""))</f>
        <v>0</v>
      </c>
      <c r="C17" s="15"/>
      <c r="D17" s="15"/>
      <c r="I17" s="15"/>
      <c r="J17" s="16">
        <f>IF(Lignes_1_2[[#This Row],[Rôle ou catégorie]]="","",IFERROR(INDEX(Referentiel[[Nature]],MATCH(Lignes_1_2[[#This Row],[Rôle ou catégorie]],Referentiel[[Entrée]],0)),"?"))</f>
        <v>0</v>
      </c>
      <c r="K17" s="16">
        <f>IF(Lignes_1_2[[#This Row],[Rôle ou catégorie]]="","",IFERROR(INDEX(Referentiel[[Code comptable]],MATCH(Lignes_1_2[[#This Row],[Rôle ou catégorie]],Referentiel[[Entrée]],0)),"?"))</f>
        <v>0</v>
      </c>
      <c r="L17" s="16">
        <f>IF(Lignes_1_2[[#This Row],[Rôle ou catégorie]]="","",IFERROR(INDEX(Referentiel[[Service]],MATCH(Lignes_1_2[[#This Row],[Rôle ou catégorie]],Referentiel[[Entrée]],0)),"?")&amp;"")</f>
        <v>0</v>
      </c>
      <c r="M17" s="16">
        <f>IF(Lignes_1_2[[#This Row],[Rôle ou catégorie]]="","",IFERROR(INDEX(Referentiel[[Taux horaire]],MATCH(Lignes_1_2[[#This Row],[Rôle ou catégorie]],Referentiel[[Entrée]],0)),"?"))</f>
        <v>0</v>
      </c>
      <c r="N17" s="17">
        <f>IF(Lignes_1_2[[#This Row],[Rôle ou catégorie]]="","",IF(Lignes_1_2[[#This Row],[Type]]="Main-d’œuvre",Lignes_1_2[[#This Row],[Quantité]]*Lignes_1_2[[#This Row],[Heures]],0))</f>
        <v>0</v>
      </c>
      <c r="O17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7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7" s="18">
        <f>IF(Lignes_1_2[[#This Row],[Rôle ou catégorie]]="","",Lignes_1_2[[#This Row],[Main-d’œuvre]]+Lignes_1_2[[#This Row],[Débours]])</f>
        <v>0</v>
      </c>
      <c r="R17" s="18"/>
      <c r="T17" s="16">
        <f>IF(Lignes_1_2[[#This Row],[Rôle ou catégorie]]="","",IFERROR(INDEX(Referentiel[[Type de nature]],MATCH(Lignes_1_2[[#This Row],[Rôle ou catégorie]],Referentiel[[Entrée]],0)),"?"))</f>
        <v>0</v>
      </c>
    </row>
    <row r="18" spans="1:20">
      <c r="A18" s="15"/>
      <c r="B18" s="16">
        <f>IF(Lignes_1_2[[#This Row],[Tâche]]="","",IFERROR(INDEX(Taches[[Description]],MATCH(Lignes_1_2[[#This Row],[Tâche]],Taches[[Entrée]],0)),""))</f>
        <v>0</v>
      </c>
      <c r="C18" s="15"/>
      <c r="D18" s="15"/>
      <c r="I18" s="15"/>
      <c r="J18" s="16">
        <f>IF(Lignes_1_2[[#This Row],[Rôle ou catégorie]]="","",IFERROR(INDEX(Referentiel[[Nature]],MATCH(Lignes_1_2[[#This Row],[Rôle ou catégorie]],Referentiel[[Entrée]],0)),"?"))</f>
        <v>0</v>
      </c>
      <c r="K18" s="16">
        <f>IF(Lignes_1_2[[#This Row],[Rôle ou catégorie]]="","",IFERROR(INDEX(Referentiel[[Code comptable]],MATCH(Lignes_1_2[[#This Row],[Rôle ou catégorie]],Referentiel[[Entrée]],0)),"?"))</f>
        <v>0</v>
      </c>
      <c r="L18" s="16">
        <f>IF(Lignes_1_2[[#This Row],[Rôle ou catégorie]]="","",IFERROR(INDEX(Referentiel[[Service]],MATCH(Lignes_1_2[[#This Row],[Rôle ou catégorie]],Referentiel[[Entrée]],0)),"?")&amp;"")</f>
        <v>0</v>
      </c>
      <c r="M18" s="16">
        <f>IF(Lignes_1_2[[#This Row],[Rôle ou catégorie]]="","",IFERROR(INDEX(Referentiel[[Taux horaire]],MATCH(Lignes_1_2[[#This Row],[Rôle ou catégorie]],Referentiel[[Entrée]],0)),"?"))</f>
        <v>0</v>
      </c>
      <c r="N18" s="17">
        <f>IF(Lignes_1_2[[#This Row],[Rôle ou catégorie]]="","",IF(Lignes_1_2[[#This Row],[Type]]="Main-d’œuvre",Lignes_1_2[[#This Row],[Quantité]]*Lignes_1_2[[#This Row],[Heures]],0))</f>
        <v>0</v>
      </c>
      <c r="O18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8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8" s="18">
        <f>IF(Lignes_1_2[[#This Row],[Rôle ou catégorie]]="","",Lignes_1_2[[#This Row],[Main-d’œuvre]]+Lignes_1_2[[#This Row],[Débours]])</f>
        <v>0</v>
      </c>
      <c r="R18" s="18"/>
      <c r="T18" s="16">
        <f>IF(Lignes_1_2[[#This Row],[Rôle ou catégorie]]="","",IFERROR(INDEX(Referentiel[[Type de nature]],MATCH(Lignes_1_2[[#This Row],[Rôle ou catégorie]],Referentiel[[Entrée]],0)),"?"))</f>
        <v>0</v>
      </c>
    </row>
    <row r="19" spans="1:20">
      <c r="A19" s="15"/>
      <c r="B19" s="16">
        <f>IF(Lignes_1_2[[#This Row],[Tâche]]="","",IFERROR(INDEX(Taches[[Description]],MATCH(Lignes_1_2[[#This Row],[Tâche]],Taches[[Entrée]],0)),""))</f>
        <v>0</v>
      </c>
      <c r="C19" s="15"/>
      <c r="D19" s="15"/>
      <c r="I19" s="15"/>
      <c r="J19" s="16">
        <f>IF(Lignes_1_2[[#This Row],[Rôle ou catégorie]]="","",IFERROR(INDEX(Referentiel[[Nature]],MATCH(Lignes_1_2[[#This Row],[Rôle ou catégorie]],Referentiel[[Entrée]],0)),"?"))</f>
        <v>0</v>
      </c>
      <c r="K19" s="16">
        <f>IF(Lignes_1_2[[#This Row],[Rôle ou catégorie]]="","",IFERROR(INDEX(Referentiel[[Code comptable]],MATCH(Lignes_1_2[[#This Row],[Rôle ou catégorie]],Referentiel[[Entrée]],0)),"?"))</f>
        <v>0</v>
      </c>
      <c r="L19" s="16">
        <f>IF(Lignes_1_2[[#This Row],[Rôle ou catégorie]]="","",IFERROR(INDEX(Referentiel[[Service]],MATCH(Lignes_1_2[[#This Row],[Rôle ou catégorie]],Referentiel[[Entrée]],0)),"?")&amp;"")</f>
        <v>0</v>
      </c>
      <c r="M19" s="16">
        <f>IF(Lignes_1_2[[#This Row],[Rôle ou catégorie]]="","",IFERROR(INDEX(Referentiel[[Taux horaire]],MATCH(Lignes_1_2[[#This Row],[Rôle ou catégorie]],Referentiel[[Entrée]],0)),"?"))</f>
        <v>0</v>
      </c>
      <c r="N19" s="17">
        <f>IF(Lignes_1_2[[#This Row],[Rôle ou catégorie]]="","",IF(Lignes_1_2[[#This Row],[Type]]="Main-d’œuvre",Lignes_1_2[[#This Row],[Quantité]]*Lignes_1_2[[#This Row],[Heures]],0))</f>
        <v>0</v>
      </c>
      <c r="O19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19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19" s="18">
        <f>IF(Lignes_1_2[[#This Row],[Rôle ou catégorie]]="","",Lignes_1_2[[#This Row],[Main-d’œuvre]]+Lignes_1_2[[#This Row],[Débours]])</f>
        <v>0</v>
      </c>
      <c r="R19" s="18"/>
      <c r="T19" s="16">
        <f>IF(Lignes_1_2[[#This Row],[Rôle ou catégorie]]="","",IFERROR(INDEX(Referentiel[[Type de nature]],MATCH(Lignes_1_2[[#This Row],[Rôle ou catégorie]],Referentiel[[Entrée]],0)),"?"))</f>
        <v>0</v>
      </c>
    </row>
    <row r="20" spans="1:20">
      <c r="A20" s="15"/>
      <c r="B20" s="16">
        <f>IF(Lignes_1_2[[#This Row],[Tâche]]="","",IFERROR(INDEX(Taches[[Description]],MATCH(Lignes_1_2[[#This Row],[Tâche]],Taches[[Entrée]],0)),""))</f>
        <v>0</v>
      </c>
      <c r="C20" s="15"/>
      <c r="D20" s="15"/>
      <c r="I20" s="15"/>
      <c r="J20" s="16">
        <f>IF(Lignes_1_2[[#This Row],[Rôle ou catégorie]]="","",IFERROR(INDEX(Referentiel[[Nature]],MATCH(Lignes_1_2[[#This Row],[Rôle ou catégorie]],Referentiel[[Entrée]],0)),"?"))</f>
        <v>0</v>
      </c>
      <c r="K20" s="16">
        <f>IF(Lignes_1_2[[#This Row],[Rôle ou catégorie]]="","",IFERROR(INDEX(Referentiel[[Code comptable]],MATCH(Lignes_1_2[[#This Row],[Rôle ou catégorie]],Referentiel[[Entrée]],0)),"?"))</f>
        <v>0</v>
      </c>
      <c r="L20" s="16">
        <f>IF(Lignes_1_2[[#This Row],[Rôle ou catégorie]]="","",IFERROR(INDEX(Referentiel[[Service]],MATCH(Lignes_1_2[[#This Row],[Rôle ou catégorie]],Referentiel[[Entrée]],0)),"?")&amp;"")</f>
        <v>0</v>
      </c>
      <c r="M20" s="16">
        <f>IF(Lignes_1_2[[#This Row],[Rôle ou catégorie]]="","",IFERROR(INDEX(Referentiel[[Taux horaire]],MATCH(Lignes_1_2[[#This Row],[Rôle ou catégorie]],Referentiel[[Entrée]],0)),"?"))</f>
        <v>0</v>
      </c>
      <c r="N20" s="17">
        <f>IF(Lignes_1_2[[#This Row],[Rôle ou catégorie]]="","",IF(Lignes_1_2[[#This Row],[Type]]="Main-d’œuvre",Lignes_1_2[[#This Row],[Quantité]]*Lignes_1_2[[#This Row],[Heures]],0))</f>
        <v>0</v>
      </c>
      <c r="O20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0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0" s="18">
        <f>IF(Lignes_1_2[[#This Row],[Rôle ou catégorie]]="","",Lignes_1_2[[#This Row],[Main-d’œuvre]]+Lignes_1_2[[#This Row],[Débours]])</f>
        <v>0</v>
      </c>
      <c r="R20" s="18"/>
      <c r="T20" s="16">
        <f>IF(Lignes_1_2[[#This Row],[Rôle ou catégorie]]="","",IFERROR(INDEX(Referentiel[[Type de nature]],MATCH(Lignes_1_2[[#This Row],[Rôle ou catégorie]],Referentiel[[Entrée]],0)),"?"))</f>
        <v>0</v>
      </c>
    </row>
    <row r="21" spans="1:20">
      <c r="A21" s="15"/>
      <c r="B21" s="16">
        <f>IF(Lignes_1_2[[#This Row],[Tâche]]="","",IFERROR(INDEX(Taches[[Description]],MATCH(Lignes_1_2[[#This Row],[Tâche]],Taches[[Entrée]],0)),""))</f>
        <v>0</v>
      </c>
      <c r="C21" s="15"/>
      <c r="D21" s="15"/>
      <c r="I21" s="15"/>
      <c r="J21" s="16">
        <f>IF(Lignes_1_2[[#This Row],[Rôle ou catégorie]]="","",IFERROR(INDEX(Referentiel[[Nature]],MATCH(Lignes_1_2[[#This Row],[Rôle ou catégorie]],Referentiel[[Entrée]],0)),"?"))</f>
        <v>0</v>
      </c>
      <c r="K21" s="16">
        <f>IF(Lignes_1_2[[#This Row],[Rôle ou catégorie]]="","",IFERROR(INDEX(Referentiel[[Code comptable]],MATCH(Lignes_1_2[[#This Row],[Rôle ou catégorie]],Referentiel[[Entrée]],0)),"?"))</f>
        <v>0</v>
      </c>
      <c r="L21" s="16">
        <f>IF(Lignes_1_2[[#This Row],[Rôle ou catégorie]]="","",IFERROR(INDEX(Referentiel[[Service]],MATCH(Lignes_1_2[[#This Row],[Rôle ou catégorie]],Referentiel[[Entrée]],0)),"?")&amp;"")</f>
        <v>0</v>
      </c>
      <c r="M21" s="16">
        <f>IF(Lignes_1_2[[#This Row],[Rôle ou catégorie]]="","",IFERROR(INDEX(Referentiel[[Taux horaire]],MATCH(Lignes_1_2[[#This Row],[Rôle ou catégorie]],Referentiel[[Entrée]],0)),"?"))</f>
        <v>0</v>
      </c>
      <c r="N21" s="17">
        <f>IF(Lignes_1_2[[#This Row],[Rôle ou catégorie]]="","",IF(Lignes_1_2[[#This Row],[Type]]="Main-d’œuvre",Lignes_1_2[[#This Row],[Quantité]]*Lignes_1_2[[#This Row],[Heures]],0))</f>
        <v>0</v>
      </c>
      <c r="O21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1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1" s="18">
        <f>IF(Lignes_1_2[[#This Row],[Rôle ou catégorie]]="","",Lignes_1_2[[#This Row],[Main-d’œuvre]]+Lignes_1_2[[#This Row],[Débours]])</f>
        <v>0</v>
      </c>
      <c r="R21" s="18"/>
      <c r="T21" s="16">
        <f>IF(Lignes_1_2[[#This Row],[Rôle ou catégorie]]="","",IFERROR(INDEX(Referentiel[[Type de nature]],MATCH(Lignes_1_2[[#This Row],[Rôle ou catégorie]],Referentiel[[Entrée]],0)),"?"))</f>
        <v>0</v>
      </c>
    </row>
    <row r="22" spans="1:20">
      <c r="A22" s="15"/>
      <c r="B22" s="16">
        <f>IF(Lignes_1_2[[#This Row],[Tâche]]="","",IFERROR(INDEX(Taches[[Description]],MATCH(Lignes_1_2[[#This Row],[Tâche]],Taches[[Entrée]],0)),""))</f>
        <v>0</v>
      </c>
      <c r="C22" s="15"/>
      <c r="D22" s="15"/>
      <c r="I22" s="15"/>
      <c r="J22" s="16">
        <f>IF(Lignes_1_2[[#This Row],[Rôle ou catégorie]]="","",IFERROR(INDEX(Referentiel[[Nature]],MATCH(Lignes_1_2[[#This Row],[Rôle ou catégorie]],Referentiel[[Entrée]],0)),"?"))</f>
        <v>0</v>
      </c>
      <c r="K22" s="16">
        <f>IF(Lignes_1_2[[#This Row],[Rôle ou catégorie]]="","",IFERROR(INDEX(Referentiel[[Code comptable]],MATCH(Lignes_1_2[[#This Row],[Rôle ou catégorie]],Referentiel[[Entrée]],0)),"?"))</f>
        <v>0</v>
      </c>
      <c r="L22" s="16">
        <f>IF(Lignes_1_2[[#This Row],[Rôle ou catégorie]]="","",IFERROR(INDEX(Referentiel[[Service]],MATCH(Lignes_1_2[[#This Row],[Rôle ou catégorie]],Referentiel[[Entrée]],0)),"?")&amp;"")</f>
        <v>0</v>
      </c>
      <c r="M22" s="16">
        <f>IF(Lignes_1_2[[#This Row],[Rôle ou catégorie]]="","",IFERROR(INDEX(Referentiel[[Taux horaire]],MATCH(Lignes_1_2[[#This Row],[Rôle ou catégorie]],Referentiel[[Entrée]],0)),"?"))</f>
        <v>0</v>
      </c>
      <c r="N22" s="17">
        <f>IF(Lignes_1_2[[#This Row],[Rôle ou catégorie]]="","",IF(Lignes_1_2[[#This Row],[Type]]="Main-d’œuvre",Lignes_1_2[[#This Row],[Quantité]]*Lignes_1_2[[#This Row],[Heures]],0))</f>
        <v>0</v>
      </c>
      <c r="O22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2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2" s="18">
        <f>IF(Lignes_1_2[[#This Row],[Rôle ou catégorie]]="","",Lignes_1_2[[#This Row],[Main-d’œuvre]]+Lignes_1_2[[#This Row],[Débours]])</f>
        <v>0</v>
      </c>
      <c r="R22" s="18"/>
      <c r="T22" s="16">
        <f>IF(Lignes_1_2[[#This Row],[Rôle ou catégorie]]="","",IFERROR(INDEX(Referentiel[[Type de nature]],MATCH(Lignes_1_2[[#This Row],[Rôle ou catégorie]],Referentiel[[Entrée]],0)),"?"))</f>
        <v>0</v>
      </c>
    </row>
    <row r="23" spans="1:20">
      <c r="A23" s="15"/>
      <c r="B23" s="16">
        <f>IF(Lignes_1_2[[#This Row],[Tâche]]="","",IFERROR(INDEX(Taches[[Description]],MATCH(Lignes_1_2[[#This Row],[Tâche]],Taches[[Entrée]],0)),""))</f>
        <v>0</v>
      </c>
      <c r="C23" s="15"/>
      <c r="D23" s="15"/>
      <c r="I23" s="15"/>
      <c r="J23" s="16">
        <f>IF(Lignes_1_2[[#This Row],[Rôle ou catégorie]]="","",IFERROR(INDEX(Referentiel[[Nature]],MATCH(Lignes_1_2[[#This Row],[Rôle ou catégorie]],Referentiel[[Entrée]],0)),"?"))</f>
        <v>0</v>
      </c>
      <c r="K23" s="16">
        <f>IF(Lignes_1_2[[#This Row],[Rôle ou catégorie]]="","",IFERROR(INDEX(Referentiel[[Code comptable]],MATCH(Lignes_1_2[[#This Row],[Rôle ou catégorie]],Referentiel[[Entrée]],0)),"?"))</f>
        <v>0</v>
      </c>
      <c r="L23" s="16">
        <f>IF(Lignes_1_2[[#This Row],[Rôle ou catégorie]]="","",IFERROR(INDEX(Referentiel[[Service]],MATCH(Lignes_1_2[[#This Row],[Rôle ou catégorie]],Referentiel[[Entrée]],0)),"?")&amp;"")</f>
        <v>0</v>
      </c>
      <c r="M23" s="16">
        <f>IF(Lignes_1_2[[#This Row],[Rôle ou catégorie]]="","",IFERROR(INDEX(Referentiel[[Taux horaire]],MATCH(Lignes_1_2[[#This Row],[Rôle ou catégorie]],Referentiel[[Entrée]],0)),"?"))</f>
        <v>0</v>
      </c>
      <c r="N23" s="17">
        <f>IF(Lignes_1_2[[#This Row],[Rôle ou catégorie]]="","",IF(Lignes_1_2[[#This Row],[Type]]="Main-d’œuvre",Lignes_1_2[[#This Row],[Quantité]]*Lignes_1_2[[#This Row],[Heures]],0))</f>
        <v>0</v>
      </c>
      <c r="O23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3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3" s="18">
        <f>IF(Lignes_1_2[[#This Row],[Rôle ou catégorie]]="","",Lignes_1_2[[#This Row],[Main-d’œuvre]]+Lignes_1_2[[#This Row],[Débours]])</f>
        <v>0</v>
      </c>
      <c r="R23" s="18"/>
      <c r="T23" s="16">
        <f>IF(Lignes_1_2[[#This Row],[Rôle ou catégorie]]="","",IFERROR(INDEX(Referentiel[[Type de nature]],MATCH(Lignes_1_2[[#This Row],[Rôle ou catégorie]],Referentiel[[Entrée]],0)),"?"))</f>
        <v>0</v>
      </c>
    </row>
    <row r="24" spans="1:20">
      <c r="A24" s="15"/>
      <c r="B24" s="16">
        <f>IF(Lignes_1_2[[#This Row],[Tâche]]="","",IFERROR(INDEX(Taches[[Description]],MATCH(Lignes_1_2[[#This Row],[Tâche]],Taches[[Entrée]],0)),""))</f>
        <v>0</v>
      </c>
      <c r="C24" s="15"/>
      <c r="D24" s="15"/>
      <c r="I24" s="15"/>
      <c r="J24" s="16">
        <f>IF(Lignes_1_2[[#This Row],[Rôle ou catégorie]]="","",IFERROR(INDEX(Referentiel[[Nature]],MATCH(Lignes_1_2[[#This Row],[Rôle ou catégorie]],Referentiel[[Entrée]],0)),"?"))</f>
        <v>0</v>
      </c>
      <c r="K24" s="16">
        <f>IF(Lignes_1_2[[#This Row],[Rôle ou catégorie]]="","",IFERROR(INDEX(Referentiel[[Code comptable]],MATCH(Lignes_1_2[[#This Row],[Rôle ou catégorie]],Referentiel[[Entrée]],0)),"?"))</f>
        <v>0</v>
      </c>
      <c r="L24" s="16">
        <f>IF(Lignes_1_2[[#This Row],[Rôle ou catégorie]]="","",IFERROR(INDEX(Referentiel[[Service]],MATCH(Lignes_1_2[[#This Row],[Rôle ou catégorie]],Referentiel[[Entrée]],0)),"?")&amp;"")</f>
        <v>0</v>
      </c>
      <c r="M24" s="16">
        <f>IF(Lignes_1_2[[#This Row],[Rôle ou catégorie]]="","",IFERROR(INDEX(Referentiel[[Taux horaire]],MATCH(Lignes_1_2[[#This Row],[Rôle ou catégorie]],Referentiel[[Entrée]],0)),"?"))</f>
        <v>0</v>
      </c>
      <c r="N24" s="17">
        <f>IF(Lignes_1_2[[#This Row],[Rôle ou catégorie]]="","",IF(Lignes_1_2[[#This Row],[Type]]="Main-d’œuvre",Lignes_1_2[[#This Row],[Quantité]]*Lignes_1_2[[#This Row],[Heures]],0))</f>
        <v>0</v>
      </c>
      <c r="O24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4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4" s="18">
        <f>IF(Lignes_1_2[[#This Row],[Rôle ou catégorie]]="","",Lignes_1_2[[#This Row],[Main-d’œuvre]]+Lignes_1_2[[#This Row],[Débours]])</f>
        <v>0</v>
      </c>
      <c r="R24" s="18"/>
      <c r="T24" s="16">
        <f>IF(Lignes_1_2[[#This Row],[Rôle ou catégorie]]="","",IFERROR(INDEX(Referentiel[[Type de nature]],MATCH(Lignes_1_2[[#This Row],[Rôle ou catégorie]],Referentiel[[Entrée]],0)),"?"))</f>
        <v>0</v>
      </c>
    </row>
    <row r="25" spans="1:20">
      <c r="A25" s="15"/>
      <c r="B25" s="16">
        <f>IF(Lignes_1_2[[#This Row],[Tâche]]="","",IFERROR(INDEX(Taches[[Description]],MATCH(Lignes_1_2[[#This Row],[Tâche]],Taches[[Entrée]],0)),""))</f>
        <v>0</v>
      </c>
      <c r="C25" s="15"/>
      <c r="D25" s="15"/>
      <c r="I25" s="15"/>
      <c r="J25" s="16">
        <f>IF(Lignes_1_2[[#This Row],[Rôle ou catégorie]]="","",IFERROR(INDEX(Referentiel[[Nature]],MATCH(Lignes_1_2[[#This Row],[Rôle ou catégorie]],Referentiel[[Entrée]],0)),"?"))</f>
        <v>0</v>
      </c>
      <c r="K25" s="16">
        <f>IF(Lignes_1_2[[#This Row],[Rôle ou catégorie]]="","",IFERROR(INDEX(Referentiel[[Code comptable]],MATCH(Lignes_1_2[[#This Row],[Rôle ou catégorie]],Referentiel[[Entrée]],0)),"?"))</f>
        <v>0</v>
      </c>
      <c r="L25" s="16">
        <f>IF(Lignes_1_2[[#This Row],[Rôle ou catégorie]]="","",IFERROR(INDEX(Referentiel[[Service]],MATCH(Lignes_1_2[[#This Row],[Rôle ou catégorie]],Referentiel[[Entrée]],0)),"?")&amp;"")</f>
        <v>0</v>
      </c>
      <c r="M25" s="16">
        <f>IF(Lignes_1_2[[#This Row],[Rôle ou catégorie]]="","",IFERROR(INDEX(Referentiel[[Taux horaire]],MATCH(Lignes_1_2[[#This Row],[Rôle ou catégorie]],Referentiel[[Entrée]],0)),"?"))</f>
        <v>0</v>
      </c>
      <c r="N25" s="17">
        <f>IF(Lignes_1_2[[#This Row],[Rôle ou catégorie]]="","",IF(Lignes_1_2[[#This Row],[Type]]="Main-d’œuvre",Lignes_1_2[[#This Row],[Quantité]]*Lignes_1_2[[#This Row],[Heures]],0))</f>
        <v>0</v>
      </c>
      <c r="O25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5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5" s="18">
        <f>IF(Lignes_1_2[[#This Row],[Rôle ou catégorie]]="","",Lignes_1_2[[#This Row],[Main-d’œuvre]]+Lignes_1_2[[#This Row],[Débours]])</f>
        <v>0</v>
      </c>
      <c r="R25" s="18"/>
      <c r="T25" s="16">
        <f>IF(Lignes_1_2[[#This Row],[Rôle ou catégorie]]="","",IFERROR(INDEX(Referentiel[[Type de nature]],MATCH(Lignes_1_2[[#This Row],[Rôle ou catégorie]],Referentiel[[Entrée]],0)),"?"))</f>
        <v>0</v>
      </c>
    </row>
    <row r="26" spans="1:20">
      <c r="A26" s="15"/>
      <c r="B26" s="16">
        <f>IF(Lignes_1_2[[#This Row],[Tâche]]="","",IFERROR(INDEX(Taches[[Description]],MATCH(Lignes_1_2[[#This Row],[Tâche]],Taches[[Entrée]],0)),""))</f>
        <v>0</v>
      </c>
      <c r="C26" s="15"/>
      <c r="D26" s="15"/>
      <c r="I26" s="15"/>
      <c r="J26" s="16">
        <f>IF(Lignes_1_2[[#This Row],[Rôle ou catégorie]]="","",IFERROR(INDEX(Referentiel[[Nature]],MATCH(Lignes_1_2[[#This Row],[Rôle ou catégorie]],Referentiel[[Entrée]],0)),"?"))</f>
        <v>0</v>
      </c>
      <c r="K26" s="16">
        <f>IF(Lignes_1_2[[#This Row],[Rôle ou catégorie]]="","",IFERROR(INDEX(Referentiel[[Code comptable]],MATCH(Lignes_1_2[[#This Row],[Rôle ou catégorie]],Referentiel[[Entrée]],0)),"?"))</f>
        <v>0</v>
      </c>
      <c r="L26" s="16">
        <f>IF(Lignes_1_2[[#This Row],[Rôle ou catégorie]]="","",IFERROR(INDEX(Referentiel[[Service]],MATCH(Lignes_1_2[[#This Row],[Rôle ou catégorie]],Referentiel[[Entrée]],0)),"?")&amp;"")</f>
        <v>0</v>
      </c>
      <c r="M26" s="16">
        <f>IF(Lignes_1_2[[#This Row],[Rôle ou catégorie]]="","",IFERROR(INDEX(Referentiel[[Taux horaire]],MATCH(Lignes_1_2[[#This Row],[Rôle ou catégorie]],Referentiel[[Entrée]],0)),"?"))</f>
        <v>0</v>
      </c>
      <c r="N26" s="17">
        <f>IF(Lignes_1_2[[#This Row],[Rôle ou catégorie]]="","",IF(Lignes_1_2[[#This Row],[Type]]="Main-d’œuvre",Lignes_1_2[[#This Row],[Quantité]]*Lignes_1_2[[#This Row],[Heures]],0))</f>
        <v>0</v>
      </c>
      <c r="O26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6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6" s="18">
        <f>IF(Lignes_1_2[[#This Row],[Rôle ou catégorie]]="","",Lignes_1_2[[#This Row],[Main-d’œuvre]]+Lignes_1_2[[#This Row],[Débours]])</f>
        <v>0</v>
      </c>
      <c r="R26" s="18"/>
      <c r="T26" s="16">
        <f>IF(Lignes_1_2[[#This Row],[Rôle ou catégorie]]="","",IFERROR(INDEX(Referentiel[[Type de nature]],MATCH(Lignes_1_2[[#This Row],[Rôle ou catégorie]],Referentiel[[Entrée]],0)),"?"))</f>
        <v>0</v>
      </c>
    </row>
    <row r="27" spans="1:20">
      <c r="A27" s="15"/>
      <c r="B27" s="16">
        <f>IF(Lignes_1_2[[#This Row],[Tâche]]="","",IFERROR(INDEX(Taches[[Description]],MATCH(Lignes_1_2[[#This Row],[Tâche]],Taches[[Entrée]],0)),""))</f>
        <v>0</v>
      </c>
      <c r="C27" s="15"/>
      <c r="D27" s="15"/>
      <c r="I27" s="15"/>
      <c r="J27" s="16">
        <f>IF(Lignes_1_2[[#This Row],[Rôle ou catégorie]]="","",IFERROR(INDEX(Referentiel[[Nature]],MATCH(Lignes_1_2[[#This Row],[Rôle ou catégorie]],Referentiel[[Entrée]],0)),"?"))</f>
        <v>0</v>
      </c>
      <c r="K27" s="16">
        <f>IF(Lignes_1_2[[#This Row],[Rôle ou catégorie]]="","",IFERROR(INDEX(Referentiel[[Code comptable]],MATCH(Lignes_1_2[[#This Row],[Rôle ou catégorie]],Referentiel[[Entrée]],0)),"?"))</f>
        <v>0</v>
      </c>
      <c r="L27" s="16">
        <f>IF(Lignes_1_2[[#This Row],[Rôle ou catégorie]]="","",IFERROR(INDEX(Referentiel[[Service]],MATCH(Lignes_1_2[[#This Row],[Rôle ou catégorie]],Referentiel[[Entrée]],0)),"?")&amp;"")</f>
        <v>0</v>
      </c>
      <c r="M27" s="16">
        <f>IF(Lignes_1_2[[#This Row],[Rôle ou catégorie]]="","",IFERROR(INDEX(Referentiel[[Taux horaire]],MATCH(Lignes_1_2[[#This Row],[Rôle ou catégorie]],Referentiel[[Entrée]],0)),"?"))</f>
        <v>0</v>
      </c>
      <c r="N27" s="17">
        <f>IF(Lignes_1_2[[#This Row],[Rôle ou catégorie]]="","",IF(Lignes_1_2[[#This Row],[Type]]="Main-d’œuvre",Lignes_1_2[[#This Row],[Quantité]]*Lignes_1_2[[#This Row],[Heures]],0))</f>
        <v>0</v>
      </c>
      <c r="O27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7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7" s="18">
        <f>IF(Lignes_1_2[[#This Row],[Rôle ou catégorie]]="","",Lignes_1_2[[#This Row],[Main-d’œuvre]]+Lignes_1_2[[#This Row],[Débours]])</f>
        <v>0</v>
      </c>
      <c r="R27" s="18"/>
      <c r="T27" s="16">
        <f>IF(Lignes_1_2[[#This Row],[Rôle ou catégorie]]="","",IFERROR(INDEX(Referentiel[[Type de nature]],MATCH(Lignes_1_2[[#This Row],[Rôle ou catégorie]],Referentiel[[Entrée]],0)),"?"))</f>
        <v>0</v>
      </c>
    </row>
    <row r="28" spans="1:20">
      <c r="A28" s="15"/>
      <c r="B28" s="16">
        <f>IF(Lignes_1_2[[#This Row],[Tâche]]="","",IFERROR(INDEX(Taches[[Description]],MATCH(Lignes_1_2[[#This Row],[Tâche]],Taches[[Entrée]],0)),""))</f>
        <v>0</v>
      </c>
      <c r="C28" s="15"/>
      <c r="D28" s="15"/>
      <c r="I28" s="15"/>
      <c r="J28" s="16">
        <f>IF(Lignes_1_2[[#This Row],[Rôle ou catégorie]]="","",IFERROR(INDEX(Referentiel[[Nature]],MATCH(Lignes_1_2[[#This Row],[Rôle ou catégorie]],Referentiel[[Entrée]],0)),"?"))</f>
        <v>0</v>
      </c>
      <c r="K28" s="16">
        <f>IF(Lignes_1_2[[#This Row],[Rôle ou catégorie]]="","",IFERROR(INDEX(Referentiel[[Code comptable]],MATCH(Lignes_1_2[[#This Row],[Rôle ou catégorie]],Referentiel[[Entrée]],0)),"?"))</f>
        <v>0</v>
      </c>
      <c r="L28" s="16">
        <f>IF(Lignes_1_2[[#This Row],[Rôle ou catégorie]]="","",IFERROR(INDEX(Referentiel[[Service]],MATCH(Lignes_1_2[[#This Row],[Rôle ou catégorie]],Referentiel[[Entrée]],0)),"?")&amp;"")</f>
        <v>0</v>
      </c>
      <c r="M28" s="16">
        <f>IF(Lignes_1_2[[#This Row],[Rôle ou catégorie]]="","",IFERROR(INDEX(Referentiel[[Taux horaire]],MATCH(Lignes_1_2[[#This Row],[Rôle ou catégorie]],Referentiel[[Entrée]],0)),"?"))</f>
        <v>0</v>
      </c>
      <c r="N28" s="17">
        <f>IF(Lignes_1_2[[#This Row],[Rôle ou catégorie]]="","",IF(Lignes_1_2[[#This Row],[Type]]="Main-d’œuvre",Lignes_1_2[[#This Row],[Quantité]]*Lignes_1_2[[#This Row],[Heures]],0))</f>
        <v>0</v>
      </c>
      <c r="O28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8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8" s="18">
        <f>IF(Lignes_1_2[[#This Row],[Rôle ou catégorie]]="","",Lignes_1_2[[#This Row],[Main-d’œuvre]]+Lignes_1_2[[#This Row],[Débours]])</f>
        <v>0</v>
      </c>
      <c r="R28" s="18"/>
      <c r="T28" s="16">
        <f>IF(Lignes_1_2[[#This Row],[Rôle ou catégorie]]="","",IFERROR(INDEX(Referentiel[[Type de nature]],MATCH(Lignes_1_2[[#This Row],[Rôle ou catégorie]],Referentiel[[Entrée]],0)),"?"))</f>
        <v>0</v>
      </c>
    </row>
    <row r="29" spans="1:20">
      <c r="A29" s="15"/>
      <c r="B29" s="16">
        <f>IF(Lignes_1_2[[#This Row],[Tâche]]="","",IFERROR(INDEX(Taches[[Description]],MATCH(Lignes_1_2[[#This Row],[Tâche]],Taches[[Entrée]],0)),""))</f>
        <v>0</v>
      </c>
      <c r="C29" s="15"/>
      <c r="D29" s="15"/>
      <c r="I29" s="15"/>
      <c r="J29" s="16">
        <f>IF(Lignes_1_2[[#This Row],[Rôle ou catégorie]]="","",IFERROR(INDEX(Referentiel[[Nature]],MATCH(Lignes_1_2[[#This Row],[Rôle ou catégorie]],Referentiel[[Entrée]],0)),"?"))</f>
        <v>0</v>
      </c>
      <c r="K29" s="16">
        <f>IF(Lignes_1_2[[#This Row],[Rôle ou catégorie]]="","",IFERROR(INDEX(Referentiel[[Code comptable]],MATCH(Lignes_1_2[[#This Row],[Rôle ou catégorie]],Referentiel[[Entrée]],0)),"?"))</f>
        <v>0</v>
      </c>
      <c r="L29" s="16">
        <f>IF(Lignes_1_2[[#This Row],[Rôle ou catégorie]]="","",IFERROR(INDEX(Referentiel[[Service]],MATCH(Lignes_1_2[[#This Row],[Rôle ou catégorie]],Referentiel[[Entrée]],0)),"?")&amp;"")</f>
        <v>0</v>
      </c>
      <c r="M29" s="16">
        <f>IF(Lignes_1_2[[#This Row],[Rôle ou catégorie]]="","",IFERROR(INDEX(Referentiel[[Taux horaire]],MATCH(Lignes_1_2[[#This Row],[Rôle ou catégorie]],Referentiel[[Entrée]],0)),"?"))</f>
        <v>0</v>
      </c>
      <c r="N29" s="17">
        <f>IF(Lignes_1_2[[#This Row],[Rôle ou catégorie]]="","",IF(Lignes_1_2[[#This Row],[Type]]="Main-d’œuvre",Lignes_1_2[[#This Row],[Quantité]]*Lignes_1_2[[#This Row],[Heures]],0))</f>
        <v>0</v>
      </c>
      <c r="O29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29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29" s="18">
        <f>IF(Lignes_1_2[[#This Row],[Rôle ou catégorie]]="","",Lignes_1_2[[#This Row],[Main-d’œuvre]]+Lignes_1_2[[#This Row],[Débours]])</f>
        <v>0</v>
      </c>
      <c r="R29" s="18"/>
      <c r="T29" s="16">
        <f>IF(Lignes_1_2[[#This Row],[Rôle ou catégorie]]="","",IFERROR(INDEX(Referentiel[[Type de nature]],MATCH(Lignes_1_2[[#This Row],[Rôle ou catégorie]],Referentiel[[Entrée]],0)),"?"))</f>
        <v>0</v>
      </c>
    </row>
    <row r="30" spans="1:20">
      <c r="A30" s="15"/>
      <c r="B30" s="16">
        <f>IF(Lignes_1_2[[#This Row],[Tâche]]="","",IFERROR(INDEX(Taches[[Description]],MATCH(Lignes_1_2[[#This Row],[Tâche]],Taches[[Entrée]],0)),""))</f>
        <v>0</v>
      </c>
      <c r="C30" s="15"/>
      <c r="D30" s="15"/>
      <c r="I30" s="15"/>
      <c r="J30" s="16">
        <f>IF(Lignes_1_2[[#This Row],[Rôle ou catégorie]]="","",IFERROR(INDEX(Referentiel[[Nature]],MATCH(Lignes_1_2[[#This Row],[Rôle ou catégorie]],Referentiel[[Entrée]],0)),"?"))</f>
        <v>0</v>
      </c>
      <c r="K30" s="16">
        <f>IF(Lignes_1_2[[#This Row],[Rôle ou catégorie]]="","",IFERROR(INDEX(Referentiel[[Code comptable]],MATCH(Lignes_1_2[[#This Row],[Rôle ou catégorie]],Referentiel[[Entrée]],0)),"?"))</f>
        <v>0</v>
      </c>
      <c r="L30" s="16">
        <f>IF(Lignes_1_2[[#This Row],[Rôle ou catégorie]]="","",IFERROR(INDEX(Referentiel[[Service]],MATCH(Lignes_1_2[[#This Row],[Rôle ou catégorie]],Referentiel[[Entrée]],0)),"?")&amp;"")</f>
        <v>0</v>
      </c>
      <c r="M30" s="16">
        <f>IF(Lignes_1_2[[#This Row],[Rôle ou catégorie]]="","",IFERROR(INDEX(Referentiel[[Taux horaire]],MATCH(Lignes_1_2[[#This Row],[Rôle ou catégorie]],Referentiel[[Entrée]],0)),"?"))</f>
        <v>0</v>
      </c>
      <c r="N30" s="17">
        <f>IF(Lignes_1_2[[#This Row],[Rôle ou catégorie]]="","",IF(Lignes_1_2[[#This Row],[Type]]="Main-d’œuvre",Lignes_1_2[[#This Row],[Quantité]]*Lignes_1_2[[#This Row],[Heures]],0))</f>
        <v>0</v>
      </c>
      <c r="O30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30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30" s="18">
        <f>IF(Lignes_1_2[[#This Row],[Rôle ou catégorie]]="","",Lignes_1_2[[#This Row],[Main-d’œuvre]]+Lignes_1_2[[#This Row],[Débours]])</f>
        <v>0</v>
      </c>
      <c r="R30" s="18"/>
      <c r="T30" s="16">
        <f>IF(Lignes_1_2[[#This Row],[Rôle ou catégorie]]="","",IFERROR(INDEX(Referentiel[[Type de nature]],MATCH(Lignes_1_2[[#This Row],[Rôle ou catégorie]],Referentiel[[Entrée]],0)),"?"))</f>
        <v>0</v>
      </c>
    </row>
    <row r="31" spans="1:20">
      <c r="A31" s="15"/>
      <c r="B31" s="16">
        <f>IF(Lignes_1_2[[#This Row],[Tâche]]="","",IFERROR(INDEX(Taches[[Description]],MATCH(Lignes_1_2[[#This Row],[Tâche]],Taches[[Entrée]],0)),""))</f>
        <v>0</v>
      </c>
      <c r="C31" s="15"/>
      <c r="D31" s="15"/>
      <c r="I31" s="15"/>
      <c r="J31" s="16">
        <f>IF(Lignes_1_2[[#This Row],[Rôle ou catégorie]]="","",IFERROR(INDEX(Referentiel[[Nature]],MATCH(Lignes_1_2[[#This Row],[Rôle ou catégorie]],Referentiel[[Entrée]],0)),"?"))</f>
        <v>0</v>
      </c>
      <c r="K31" s="16">
        <f>IF(Lignes_1_2[[#This Row],[Rôle ou catégorie]]="","",IFERROR(INDEX(Referentiel[[Code comptable]],MATCH(Lignes_1_2[[#This Row],[Rôle ou catégorie]],Referentiel[[Entrée]],0)),"?"))</f>
        <v>0</v>
      </c>
      <c r="L31" s="16">
        <f>IF(Lignes_1_2[[#This Row],[Rôle ou catégorie]]="","",IFERROR(INDEX(Referentiel[[Service]],MATCH(Lignes_1_2[[#This Row],[Rôle ou catégorie]],Referentiel[[Entrée]],0)),"?")&amp;"")</f>
        <v>0</v>
      </c>
      <c r="M31" s="16">
        <f>IF(Lignes_1_2[[#This Row],[Rôle ou catégorie]]="","",IFERROR(INDEX(Referentiel[[Taux horaire]],MATCH(Lignes_1_2[[#This Row],[Rôle ou catégorie]],Referentiel[[Entrée]],0)),"?"))</f>
        <v>0</v>
      </c>
      <c r="N31" s="17">
        <f>IF(Lignes_1_2[[#This Row],[Rôle ou catégorie]]="","",IF(Lignes_1_2[[#This Row],[Type]]="Main-d’œuvre",Lignes_1_2[[#This Row],[Quantité]]*Lignes_1_2[[#This Row],[Heures]],0))</f>
        <v>0</v>
      </c>
      <c r="O31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31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31" s="18">
        <f>IF(Lignes_1_2[[#This Row],[Rôle ou catégorie]]="","",Lignes_1_2[[#This Row],[Main-d’œuvre]]+Lignes_1_2[[#This Row],[Débours]])</f>
        <v>0</v>
      </c>
      <c r="R31" s="18"/>
      <c r="T31" s="16">
        <f>IF(Lignes_1_2[[#This Row],[Rôle ou catégorie]]="","",IFERROR(INDEX(Referentiel[[Type de nature]],MATCH(Lignes_1_2[[#This Row],[Rôle ou catégorie]],Referentiel[[Entrée]],0)),"?"))</f>
        <v>0</v>
      </c>
    </row>
    <row r="32" spans="1:20">
      <c r="A32" s="15"/>
      <c r="B32" s="16">
        <f>IF(Lignes_1_2[[#This Row],[Tâche]]="","",IFERROR(INDEX(Taches[[Description]],MATCH(Lignes_1_2[[#This Row],[Tâche]],Taches[[Entrée]],0)),""))</f>
        <v>0</v>
      </c>
      <c r="C32" s="15"/>
      <c r="D32" s="15"/>
      <c r="I32" s="15"/>
      <c r="J32" s="16">
        <f>IF(Lignes_1_2[[#This Row],[Rôle ou catégorie]]="","",IFERROR(INDEX(Referentiel[[Nature]],MATCH(Lignes_1_2[[#This Row],[Rôle ou catégorie]],Referentiel[[Entrée]],0)),"?"))</f>
        <v>0</v>
      </c>
      <c r="K32" s="16">
        <f>IF(Lignes_1_2[[#This Row],[Rôle ou catégorie]]="","",IFERROR(INDEX(Referentiel[[Code comptable]],MATCH(Lignes_1_2[[#This Row],[Rôle ou catégorie]],Referentiel[[Entrée]],0)),"?"))</f>
        <v>0</v>
      </c>
      <c r="L32" s="16">
        <f>IF(Lignes_1_2[[#This Row],[Rôle ou catégorie]]="","",IFERROR(INDEX(Referentiel[[Service]],MATCH(Lignes_1_2[[#This Row],[Rôle ou catégorie]],Referentiel[[Entrée]],0)),"?")&amp;"")</f>
        <v>0</v>
      </c>
      <c r="M32" s="16">
        <f>IF(Lignes_1_2[[#This Row],[Rôle ou catégorie]]="","",IFERROR(INDEX(Referentiel[[Taux horaire]],MATCH(Lignes_1_2[[#This Row],[Rôle ou catégorie]],Referentiel[[Entrée]],0)),"?"))</f>
        <v>0</v>
      </c>
      <c r="N32" s="17">
        <f>IF(Lignes_1_2[[#This Row],[Rôle ou catégorie]]="","",IF(Lignes_1_2[[#This Row],[Type]]="Main-d’œuvre",Lignes_1_2[[#This Row],[Quantité]]*Lignes_1_2[[#This Row],[Heures]],0))</f>
        <v>0</v>
      </c>
      <c r="O32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32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32" s="18">
        <f>IF(Lignes_1_2[[#This Row],[Rôle ou catégorie]]="","",Lignes_1_2[[#This Row],[Main-d’œuvre]]+Lignes_1_2[[#This Row],[Débours]])</f>
        <v>0</v>
      </c>
      <c r="R32" s="18"/>
      <c r="T32" s="16">
        <f>IF(Lignes_1_2[[#This Row],[Rôle ou catégorie]]="","",IFERROR(INDEX(Referentiel[[Type de nature]],MATCH(Lignes_1_2[[#This Row],[Rôle ou catégorie]],Referentiel[[Entrée]],0)),"?"))</f>
        <v>0</v>
      </c>
    </row>
    <row r="33" spans="1:20">
      <c r="A33" s="15"/>
      <c r="B33" s="16">
        <f>IF(Lignes_1_2[[#This Row],[Tâche]]="","",IFERROR(INDEX(Taches[[Description]],MATCH(Lignes_1_2[[#This Row],[Tâche]],Taches[[Entrée]],0)),""))</f>
        <v>0</v>
      </c>
      <c r="C33" s="15"/>
      <c r="D33" s="15"/>
      <c r="I33" s="15"/>
      <c r="J33" s="16">
        <f>IF(Lignes_1_2[[#This Row],[Rôle ou catégorie]]="","",IFERROR(INDEX(Referentiel[[Nature]],MATCH(Lignes_1_2[[#This Row],[Rôle ou catégorie]],Referentiel[[Entrée]],0)),"?"))</f>
        <v>0</v>
      </c>
      <c r="K33" s="16">
        <f>IF(Lignes_1_2[[#This Row],[Rôle ou catégorie]]="","",IFERROR(INDEX(Referentiel[[Code comptable]],MATCH(Lignes_1_2[[#This Row],[Rôle ou catégorie]],Referentiel[[Entrée]],0)),"?"))</f>
        <v>0</v>
      </c>
      <c r="L33" s="16">
        <f>IF(Lignes_1_2[[#This Row],[Rôle ou catégorie]]="","",IFERROR(INDEX(Referentiel[[Service]],MATCH(Lignes_1_2[[#This Row],[Rôle ou catégorie]],Referentiel[[Entrée]],0)),"?")&amp;"")</f>
        <v>0</v>
      </c>
      <c r="M33" s="16">
        <f>IF(Lignes_1_2[[#This Row],[Rôle ou catégorie]]="","",IFERROR(INDEX(Referentiel[[Taux horaire]],MATCH(Lignes_1_2[[#This Row],[Rôle ou catégorie]],Referentiel[[Entrée]],0)),"?"))</f>
        <v>0</v>
      </c>
      <c r="N33" s="17">
        <f>IF(Lignes_1_2[[#This Row],[Rôle ou catégorie]]="","",IF(Lignes_1_2[[#This Row],[Type]]="Main-d’œuvre",Lignes_1_2[[#This Row],[Quantité]]*Lignes_1_2[[#This Row],[Heures]],0))</f>
        <v>0</v>
      </c>
      <c r="O33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33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33" s="18">
        <f>IF(Lignes_1_2[[#This Row],[Rôle ou catégorie]]="","",Lignes_1_2[[#This Row],[Main-d’œuvre]]+Lignes_1_2[[#This Row],[Débours]])</f>
        <v>0</v>
      </c>
      <c r="R33" s="18"/>
      <c r="T33" s="16">
        <f>IF(Lignes_1_2[[#This Row],[Rôle ou catégorie]]="","",IFERROR(INDEX(Referentiel[[Type de nature]],MATCH(Lignes_1_2[[#This Row],[Rôle ou catégorie]],Referentiel[[Entrée]],0)),"?"))</f>
        <v>0</v>
      </c>
    </row>
    <row r="34" spans="1:20">
      <c r="A34" s="15"/>
      <c r="B34" s="16">
        <f>IF(Lignes_1_2[[#This Row],[Tâche]]="","",IFERROR(INDEX(Taches[[Description]],MATCH(Lignes_1_2[[#This Row],[Tâche]],Taches[[Entrée]],0)),""))</f>
        <v>0</v>
      </c>
      <c r="C34" s="15"/>
      <c r="D34" s="15"/>
      <c r="I34" s="15"/>
      <c r="J34" s="16">
        <f>IF(Lignes_1_2[[#This Row],[Rôle ou catégorie]]="","",IFERROR(INDEX(Referentiel[[Nature]],MATCH(Lignes_1_2[[#This Row],[Rôle ou catégorie]],Referentiel[[Entrée]],0)),"?"))</f>
        <v>0</v>
      </c>
      <c r="K34" s="16">
        <f>IF(Lignes_1_2[[#This Row],[Rôle ou catégorie]]="","",IFERROR(INDEX(Referentiel[[Code comptable]],MATCH(Lignes_1_2[[#This Row],[Rôle ou catégorie]],Referentiel[[Entrée]],0)),"?"))</f>
        <v>0</v>
      </c>
      <c r="L34" s="16">
        <f>IF(Lignes_1_2[[#This Row],[Rôle ou catégorie]]="","",IFERROR(INDEX(Referentiel[[Service]],MATCH(Lignes_1_2[[#This Row],[Rôle ou catégorie]],Referentiel[[Entrée]],0)),"?")&amp;"")</f>
        <v>0</v>
      </c>
      <c r="M34" s="16">
        <f>IF(Lignes_1_2[[#This Row],[Rôle ou catégorie]]="","",IFERROR(INDEX(Referentiel[[Taux horaire]],MATCH(Lignes_1_2[[#This Row],[Rôle ou catégorie]],Referentiel[[Entrée]],0)),"?"))</f>
        <v>0</v>
      </c>
      <c r="N34" s="17">
        <f>IF(Lignes_1_2[[#This Row],[Rôle ou catégorie]]="","",IF(Lignes_1_2[[#This Row],[Type]]="Main-d’œuvre",Lignes_1_2[[#This Row],[Quantité]]*Lignes_1_2[[#This Row],[Heures]],0))</f>
        <v>0</v>
      </c>
      <c r="O34" s="18">
        <f>IF(Lignes_1_2[[#This Row],[Rôle ou catégorie]]="","",IF(Lignes_1_2[[#This Row],[Type]]="Main-d’œuvre",Lignes_1_2[[#This Row],[Quantité]]*Lignes_1_2[[#This Row],[Heures]]*Lignes_1_2[[#This Row],[Taux horaire]],0))</f>
        <v>0</v>
      </c>
      <c r="P34" s="18">
        <f>IF(Lignes_1_2[[#This Row],[Rôle ou catégorie]]="","",IF(OR(Lignes_1_2[[#This Row],[Type]]="Hors main-d’œuvre",Lignes_1_2[[#This Row],[Type]]="Provision"),Lignes_1_2[[#This Row],[Quantité]]*Lignes_1_2[[#This Row],[Débours unitaire]],0))</f>
        <v>0</v>
      </c>
      <c r="Q34" s="18">
        <f>IF(Lignes_1_2[[#This Row],[Rôle ou catégorie]]="","",Lignes_1_2[[#This Row],[Main-d’œuvre]]+Lignes_1_2[[#This Row],[Débours]])</f>
        <v>0</v>
      </c>
      <c r="R34" s="18"/>
      <c r="T34" s="16">
        <f>IF(Lignes_1_2[[#This Row],[Rôle ou catégorie]]="","",IFERROR(INDEX(Referentiel[[Type de nature]],MATCH(Lignes_1_2[[#This Row],[Rôle ou catégorie]],Referentiel[[Entrée]],0)),"?"))</f>
        <v>0</v>
      </c>
    </row>
    <row r="35" spans="1:20">
      <c r="A35" s="15" t="s">
        <v>140</v>
      </c>
      <c r="N35" s="17">
        <f>SUBTOTAL(109,Lignes_1_2[[Heures totales]])</f>
        <v>0</v>
      </c>
      <c r="O35" s="18">
        <f>SUBTOTAL(109,Lignes_1_2[[Main-d’œuvre]])</f>
        <v>0</v>
      </c>
      <c r="P35" s="18">
        <f>SUBTOTAL(109,Lignes_1_2[[Débours]])</f>
        <v>0</v>
      </c>
      <c r="Q35" s="18">
        <f>SUBTOTAL(109,Lignes_1_2[[Montant]])</f>
        <v>0</v>
      </c>
      <c r="R35" s="18">
        <f>SUBTOTAL(109,Lignes_1_2[[Montant Waterfall]])</f>
        <v>0</v>
      </c>
    </row>
  </sheetData>
  <dataValidations count="3">
    <dataValidation type="list" allowBlank="1" showInputMessage="1" showErrorMessage="1" errorTitle="Tâche" error="Choisis une tâche de cet onglet (onglet Tâches)." sqref="A2:A1001">
      <formula1>'Tâches'!$A$9:$A$11</formula1>
    </dataValidation>
    <dataValidation type="list" allowBlank="1" showInputMessage="1" showErrorMessage="1" errorTitle="Rôle ou catégorie" error="Choisis un rôle ou une catégorie du référentiel." sqref="C2:C1001">
      <formula1>'Paramètres'!$A$5:$A$13</formula1>
    </dataValidation>
    <dataValidation type="list" allowBlank="1" showInputMessage="1" showErrorMessage="1" sqref="I2:I1001">
      <formula1>'Paramètres'!$K$5:$K$6</formula1>
    </dataValidation>
  </dataValidations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T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outlineLevelCol="1"/>
  <cols>
    <col min="1" max="3" width="34.7109375" customWidth="1"/>
    <col min="4" max="4" width="30.7109375" customWidth="1"/>
    <col min="5" max="5" width="10.7109375" customWidth="1"/>
    <col min="6" max="6" width="9.7109375" customWidth="1"/>
    <col min="7" max="7" width="12.7109375" customWidth="1"/>
    <col min="8" max="8" width="11.7109375" customWidth="1"/>
    <col min="9" max="9" width="12.7109375" customWidth="1"/>
    <col min="10" max="10" width="18.7109375" customWidth="1"/>
    <col min="11" max="11" width="11.7109375" customWidth="1"/>
    <col min="12" max="12" width="22.7109375" customWidth="1"/>
    <col min="13" max="13" width="9.7109375" customWidth="1"/>
    <col min="14" max="14" width="10.7109375" customWidth="1"/>
    <col min="15" max="17" width="13.7109375" customWidth="1"/>
    <col min="18" max="18" width="14.7109375" customWidth="1"/>
    <col min="19" max="19" width="10.7109375" hidden="1" customWidth="1" outlineLevel="1"/>
    <col min="20" max="20" width="14.7109375" hidden="1" customWidth="1" outlineLevel="1"/>
  </cols>
  <sheetData>
    <row r="1" spans="1:20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7</v>
      </c>
      <c r="K1" t="s">
        <v>9</v>
      </c>
      <c r="L1" t="s">
        <v>6</v>
      </c>
      <c r="M1" t="s">
        <v>10</v>
      </c>
      <c r="N1" t="s">
        <v>150</v>
      </c>
      <c r="O1" t="s">
        <v>16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</row>
    <row r="2" spans="1:20">
      <c r="A2" s="15" t="s">
        <v>111</v>
      </c>
      <c r="B2" s="16">
        <f>IF(Lignes_1[[#This Row],[Tâche]]="","",IFERROR(INDEX(Taches[[Description]],MATCH(Lignes_1[[#This Row],[Tâche]],Taches[[Entrée]],0)),""))</f>
        <v>0</v>
      </c>
      <c r="C2" s="15" t="s">
        <v>30</v>
      </c>
      <c r="D2" s="15"/>
      <c r="E2">
        <v>3</v>
      </c>
      <c r="F2">
        <v>7.4</v>
      </c>
      <c r="H2">
        <v>0</v>
      </c>
      <c r="I2" s="15"/>
      <c r="J2" s="16">
        <f>IF(Lignes_1[[#This Row],[Rôle ou catégorie]]="","",IFERROR(INDEX(Referentiel[[Nature]],MATCH(Lignes_1[[#This Row],[Rôle ou catégorie]],Referentiel[[Entrée]],0)),"?"))</f>
        <v>0</v>
      </c>
      <c r="K2" s="16">
        <f>IF(Lignes_1[[#This Row],[Rôle ou catégorie]]="","",IFERROR(INDEX(Referentiel[[Code comptable]],MATCH(Lignes_1[[#This Row],[Rôle ou catégorie]],Referentiel[[Entrée]],0)),"?"))</f>
        <v>0</v>
      </c>
      <c r="L2" s="16">
        <f>IF(Lignes_1[[#This Row],[Rôle ou catégorie]]="","",IFERROR(INDEX(Referentiel[[Service]],MATCH(Lignes_1[[#This Row],[Rôle ou catégorie]],Referentiel[[Entrée]],0)),"?")&amp;"")</f>
        <v>0</v>
      </c>
      <c r="M2" s="16">
        <f>IF(Lignes_1[[#This Row],[Rôle ou catégorie]]="","",IFERROR(INDEX(Referentiel[[Taux horaire]],MATCH(Lignes_1[[#This Row],[Rôle ou catégorie]],Referentiel[[Entrée]],0)),"?"))</f>
        <v>0</v>
      </c>
      <c r="N2" s="17">
        <f>IF(Lignes_1[[#This Row],[Rôle ou catégorie]]="","",IF(Lignes_1[[#This Row],[Type]]="Main-d’œuvre",Lignes_1[[#This Row],[Quantité]]*Lignes_1[[#This Row],[Heures]],0))</f>
        <v>0</v>
      </c>
      <c r="O2" s="18">
        <f>IF(Lignes_1[[#This Row],[Rôle ou catégorie]]="","",IF(Lignes_1[[#This Row],[Type]]="Main-d’œuvre",Lignes_1[[#This Row],[Quantité]]*Lignes_1[[#This Row],[Heures]]*Lignes_1[[#This Row],[Taux horaire]],0))</f>
        <v>0</v>
      </c>
      <c r="P2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" s="18">
        <f>IF(Lignes_1[[#This Row],[Rôle ou catégorie]]="","",Lignes_1[[#This Row],[Main-d’œuvre]]+Lignes_1[[#This Row],[Débours]])</f>
        <v>0</v>
      </c>
      <c r="R2" s="18">
        <v>1776</v>
      </c>
      <c r="S2" t="s">
        <v>167</v>
      </c>
      <c r="T2" s="16">
        <f>IF(Lignes_1[[#This Row],[Rôle ou catégorie]]="","",IFERROR(INDEX(Referentiel[[Type de nature]],MATCH(Lignes_1[[#This Row],[Rôle ou catégorie]],Referentiel[[Entrée]],0)),"?"))</f>
        <v>0</v>
      </c>
    </row>
    <row r="3" spans="1:20">
      <c r="A3" s="15"/>
      <c r="B3" s="16">
        <f>IF(Lignes_1[[#This Row],[Tâche]]="","",IFERROR(INDEX(Taches[[Description]],MATCH(Lignes_1[[#This Row],[Tâche]],Taches[[Entrée]],0)),""))</f>
        <v>0</v>
      </c>
      <c r="C3" s="15"/>
      <c r="D3" s="15"/>
      <c r="I3" s="15"/>
      <c r="J3" s="16">
        <f>IF(Lignes_1[[#This Row],[Rôle ou catégorie]]="","",IFERROR(INDEX(Referentiel[[Nature]],MATCH(Lignes_1[[#This Row],[Rôle ou catégorie]],Referentiel[[Entrée]],0)),"?"))</f>
        <v>0</v>
      </c>
      <c r="K3" s="16">
        <f>IF(Lignes_1[[#This Row],[Rôle ou catégorie]]="","",IFERROR(INDEX(Referentiel[[Code comptable]],MATCH(Lignes_1[[#This Row],[Rôle ou catégorie]],Referentiel[[Entrée]],0)),"?"))</f>
        <v>0</v>
      </c>
      <c r="L3" s="16">
        <f>IF(Lignes_1[[#This Row],[Rôle ou catégorie]]="","",IFERROR(INDEX(Referentiel[[Service]],MATCH(Lignes_1[[#This Row],[Rôle ou catégorie]],Referentiel[[Entrée]],0)),"?")&amp;"")</f>
        <v>0</v>
      </c>
      <c r="M3" s="16">
        <f>IF(Lignes_1[[#This Row],[Rôle ou catégorie]]="","",IFERROR(INDEX(Referentiel[[Taux horaire]],MATCH(Lignes_1[[#This Row],[Rôle ou catégorie]],Referentiel[[Entrée]],0)),"?"))</f>
        <v>0</v>
      </c>
      <c r="N3" s="17">
        <f>IF(Lignes_1[[#This Row],[Rôle ou catégorie]]="","",IF(Lignes_1[[#This Row],[Type]]="Main-d’œuvre",Lignes_1[[#This Row],[Quantité]]*Lignes_1[[#This Row],[Heures]],0))</f>
        <v>0</v>
      </c>
      <c r="O3" s="18">
        <f>IF(Lignes_1[[#This Row],[Rôle ou catégorie]]="","",IF(Lignes_1[[#This Row],[Type]]="Main-d’œuvre",Lignes_1[[#This Row],[Quantité]]*Lignes_1[[#This Row],[Heures]]*Lignes_1[[#This Row],[Taux horaire]],0))</f>
        <v>0</v>
      </c>
      <c r="P3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3" s="18">
        <f>IF(Lignes_1[[#This Row],[Rôle ou catégorie]]="","",Lignes_1[[#This Row],[Main-d’œuvre]]+Lignes_1[[#This Row],[Débours]])</f>
        <v>0</v>
      </c>
      <c r="R3" s="18"/>
      <c r="T3" s="16">
        <f>IF(Lignes_1[[#This Row],[Rôle ou catégorie]]="","",IFERROR(INDEX(Referentiel[[Type de nature]],MATCH(Lignes_1[[#This Row],[Rôle ou catégorie]],Referentiel[[Entrée]],0)),"?"))</f>
        <v>0</v>
      </c>
    </row>
    <row r="4" spans="1:20">
      <c r="A4" s="15"/>
      <c r="B4" s="16">
        <f>IF(Lignes_1[[#This Row],[Tâche]]="","",IFERROR(INDEX(Taches[[Description]],MATCH(Lignes_1[[#This Row],[Tâche]],Taches[[Entrée]],0)),""))</f>
        <v>0</v>
      </c>
      <c r="C4" s="15"/>
      <c r="D4" s="15"/>
      <c r="I4" s="15"/>
      <c r="J4" s="16">
        <f>IF(Lignes_1[[#This Row],[Rôle ou catégorie]]="","",IFERROR(INDEX(Referentiel[[Nature]],MATCH(Lignes_1[[#This Row],[Rôle ou catégorie]],Referentiel[[Entrée]],0)),"?"))</f>
        <v>0</v>
      </c>
      <c r="K4" s="16">
        <f>IF(Lignes_1[[#This Row],[Rôle ou catégorie]]="","",IFERROR(INDEX(Referentiel[[Code comptable]],MATCH(Lignes_1[[#This Row],[Rôle ou catégorie]],Referentiel[[Entrée]],0)),"?"))</f>
        <v>0</v>
      </c>
      <c r="L4" s="16">
        <f>IF(Lignes_1[[#This Row],[Rôle ou catégorie]]="","",IFERROR(INDEX(Referentiel[[Service]],MATCH(Lignes_1[[#This Row],[Rôle ou catégorie]],Referentiel[[Entrée]],0)),"?")&amp;"")</f>
        <v>0</v>
      </c>
      <c r="M4" s="16">
        <f>IF(Lignes_1[[#This Row],[Rôle ou catégorie]]="","",IFERROR(INDEX(Referentiel[[Taux horaire]],MATCH(Lignes_1[[#This Row],[Rôle ou catégorie]],Referentiel[[Entrée]],0)),"?"))</f>
        <v>0</v>
      </c>
      <c r="N4" s="17">
        <f>IF(Lignes_1[[#This Row],[Rôle ou catégorie]]="","",IF(Lignes_1[[#This Row],[Type]]="Main-d’œuvre",Lignes_1[[#This Row],[Quantité]]*Lignes_1[[#This Row],[Heures]],0))</f>
        <v>0</v>
      </c>
      <c r="O4" s="18">
        <f>IF(Lignes_1[[#This Row],[Rôle ou catégorie]]="","",IF(Lignes_1[[#This Row],[Type]]="Main-d’œuvre",Lignes_1[[#This Row],[Quantité]]*Lignes_1[[#This Row],[Heures]]*Lignes_1[[#This Row],[Taux horaire]],0))</f>
        <v>0</v>
      </c>
      <c r="P4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4" s="18">
        <f>IF(Lignes_1[[#This Row],[Rôle ou catégorie]]="","",Lignes_1[[#This Row],[Main-d’œuvre]]+Lignes_1[[#This Row],[Débours]])</f>
        <v>0</v>
      </c>
      <c r="R4" s="18"/>
      <c r="T4" s="16">
        <f>IF(Lignes_1[[#This Row],[Rôle ou catégorie]]="","",IFERROR(INDEX(Referentiel[[Type de nature]],MATCH(Lignes_1[[#This Row],[Rôle ou catégorie]],Referentiel[[Entrée]],0)),"?"))</f>
        <v>0</v>
      </c>
    </row>
    <row r="5" spans="1:20">
      <c r="A5" s="15"/>
      <c r="B5" s="16">
        <f>IF(Lignes_1[[#This Row],[Tâche]]="","",IFERROR(INDEX(Taches[[Description]],MATCH(Lignes_1[[#This Row],[Tâche]],Taches[[Entrée]],0)),""))</f>
        <v>0</v>
      </c>
      <c r="C5" s="15"/>
      <c r="D5" s="15"/>
      <c r="I5" s="15"/>
      <c r="J5" s="16">
        <f>IF(Lignes_1[[#This Row],[Rôle ou catégorie]]="","",IFERROR(INDEX(Referentiel[[Nature]],MATCH(Lignes_1[[#This Row],[Rôle ou catégorie]],Referentiel[[Entrée]],0)),"?"))</f>
        <v>0</v>
      </c>
      <c r="K5" s="16">
        <f>IF(Lignes_1[[#This Row],[Rôle ou catégorie]]="","",IFERROR(INDEX(Referentiel[[Code comptable]],MATCH(Lignes_1[[#This Row],[Rôle ou catégorie]],Referentiel[[Entrée]],0)),"?"))</f>
        <v>0</v>
      </c>
      <c r="L5" s="16">
        <f>IF(Lignes_1[[#This Row],[Rôle ou catégorie]]="","",IFERROR(INDEX(Referentiel[[Service]],MATCH(Lignes_1[[#This Row],[Rôle ou catégorie]],Referentiel[[Entrée]],0)),"?")&amp;"")</f>
        <v>0</v>
      </c>
      <c r="M5" s="16">
        <f>IF(Lignes_1[[#This Row],[Rôle ou catégorie]]="","",IFERROR(INDEX(Referentiel[[Taux horaire]],MATCH(Lignes_1[[#This Row],[Rôle ou catégorie]],Referentiel[[Entrée]],0)),"?"))</f>
        <v>0</v>
      </c>
      <c r="N5" s="17">
        <f>IF(Lignes_1[[#This Row],[Rôle ou catégorie]]="","",IF(Lignes_1[[#This Row],[Type]]="Main-d’œuvre",Lignes_1[[#This Row],[Quantité]]*Lignes_1[[#This Row],[Heures]],0))</f>
        <v>0</v>
      </c>
      <c r="O5" s="18">
        <f>IF(Lignes_1[[#This Row],[Rôle ou catégorie]]="","",IF(Lignes_1[[#This Row],[Type]]="Main-d’œuvre",Lignes_1[[#This Row],[Quantité]]*Lignes_1[[#This Row],[Heures]]*Lignes_1[[#This Row],[Taux horaire]],0))</f>
        <v>0</v>
      </c>
      <c r="P5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5" s="18">
        <f>IF(Lignes_1[[#This Row],[Rôle ou catégorie]]="","",Lignes_1[[#This Row],[Main-d’œuvre]]+Lignes_1[[#This Row],[Débours]])</f>
        <v>0</v>
      </c>
      <c r="R5" s="18"/>
      <c r="T5" s="16">
        <f>IF(Lignes_1[[#This Row],[Rôle ou catégorie]]="","",IFERROR(INDEX(Referentiel[[Type de nature]],MATCH(Lignes_1[[#This Row],[Rôle ou catégorie]],Referentiel[[Entrée]],0)),"?"))</f>
        <v>0</v>
      </c>
    </row>
    <row r="6" spans="1:20">
      <c r="A6" s="15"/>
      <c r="B6" s="16">
        <f>IF(Lignes_1[[#This Row],[Tâche]]="","",IFERROR(INDEX(Taches[[Description]],MATCH(Lignes_1[[#This Row],[Tâche]],Taches[[Entrée]],0)),""))</f>
        <v>0</v>
      </c>
      <c r="C6" s="15"/>
      <c r="D6" s="15"/>
      <c r="I6" s="15"/>
      <c r="J6" s="16">
        <f>IF(Lignes_1[[#This Row],[Rôle ou catégorie]]="","",IFERROR(INDEX(Referentiel[[Nature]],MATCH(Lignes_1[[#This Row],[Rôle ou catégorie]],Referentiel[[Entrée]],0)),"?"))</f>
        <v>0</v>
      </c>
      <c r="K6" s="16">
        <f>IF(Lignes_1[[#This Row],[Rôle ou catégorie]]="","",IFERROR(INDEX(Referentiel[[Code comptable]],MATCH(Lignes_1[[#This Row],[Rôle ou catégorie]],Referentiel[[Entrée]],0)),"?"))</f>
        <v>0</v>
      </c>
      <c r="L6" s="16">
        <f>IF(Lignes_1[[#This Row],[Rôle ou catégorie]]="","",IFERROR(INDEX(Referentiel[[Service]],MATCH(Lignes_1[[#This Row],[Rôle ou catégorie]],Referentiel[[Entrée]],0)),"?")&amp;"")</f>
        <v>0</v>
      </c>
      <c r="M6" s="16">
        <f>IF(Lignes_1[[#This Row],[Rôle ou catégorie]]="","",IFERROR(INDEX(Referentiel[[Taux horaire]],MATCH(Lignes_1[[#This Row],[Rôle ou catégorie]],Referentiel[[Entrée]],0)),"?"))</f>
        <v>0</v>
      </c>
      <c r="N6" s="17">
        <f>IF(Lignes_1[[#This Row],[Rôle ou catégorie]]="","",IF(Lignes_1[[#This Row],[Type]]="Main-d’œuvre",Lignes_1[[#This Row],[Quantité]]*Lignes_1[[#This Row],[Heures]],0))</f>
        <v>0</v>
      </c>
      <c r="O6" s="18">
        <f>IF(Lignes_1[[#This Row],[Rôle ou catégorie]]="","",IF(Lignes_1[[#This Row],[Type]]="Main-d’œuvre",Lignes_1[[#This Row],[Quantité]]*Lignes_1[[#This Row],[Heures]]*Lignes_1[[#This Row],[Taux horaire]],0))</f>
        <v>0</v>
      </c>
      <c r="P6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6" s="18">
        <f>IF(Lignes_1[[#This Row],[Rôle ou catégorie]]="","",Lignes_1[[#This Row],[Main-d’œuvre]]+Lignes_1[[#This Row],[Débours]])</f>
        <v>0</v>
      </c>
      <c r="R6" s="18"/>
      <c r="T6" s="16">
        <f>IF(Lignes_1[[#This Row],[Rôle ou catégorie]]="","",IFERROR(INDEX(Referentiel[[Type de nature]],MATCH(Lignes_1[[#This Row],[Rôle ou catégorie]],Referentiel[[Entrée]],0)),"?"))</f>
        <v>0</v>
      </c>
    </row>
    <row r="7" spans="1:20">
      <c r="A7" s="15"/>
      <c r="B7" s="16">
        <f>IF(Lignes_1[[#This Row],[Tâche]]="","",IFERROR(INDEX(Taches[[Description]],MATCH(Lignes_1[[#This Row],[Tâche]],Taches[[Entrée]],0)),""))</f>
        <v>0</v>
      </c>
      <c r="C7" s="15"/>
      <c r="D7" s="15"/>
      <c r="I7" s="15"/>
      <c r="J7" s="16">
        <f>IF(Lignes_1[[#This Row],[Rôle ou catégorie]]="","",IFERROR(INDEX(Referentiel[[Nature]],MATCH(Lignes_1[[#This Row],[Rôle ou catégorie]],Referentiel[[Entrée]],0)),"?"))</f>
        <v>0</v>
      </c>
      <c r="K7" s="16">
        <f>IF(Lignes_1[[#This Row],[Rôle ou catégorie]]="","",IFERROR(INDEX(Referentiel[[Code comptable]],MATCH(Lignes_1[[#This Row],[Rôle ou catégorie]],Referentiel[[Entrée]],0)),"?"))</f>
        <v>0</v>
      </c>
      <c r="L7" s="16">
        <f>IF(Lignes_1[[#This Row],[Rôle ou catégorie]]="","",IFERROR(INDEX(Referentiel[[Service]],MATCH(Lignes_1[[#This Row],[Rôle ou catégorie]],Referentiel[[Entrée]],0)),"?")&amp;"")</f>
        <v>0</v>
      </c>
      <c r="M7" s="16">
        <f>IF(Lignes_1[[#This Row],[Rôle ou catégorie]]="","",IFERROR(INDEX(Referentiel[[Taux horaire]],MATCH(Lignes_1[[#This Row],[Rôle ou catégorie]],Referentiel[[Entrée]],0)),"?"))</f>
        <v>0</v>
      </c>
      <c r="N7" s="17">
        <f>IF(Lignes_1[[#This Row],[Rôle ou catégorie]]="","",IF(Lignes_1[[#This Row],[Type]]="Main-d’œuvre",Lignes_1[[#This Row],[Quantité]]*Lignes_1[[#This Row],[Heures]],0))</f>
        <v>0</v>
      </c>
      <c r="O7" s="18">
        <f>IF(Lignes_1[[#This Row],[Rôle ou catégorie]]="","",IF(Lignes_1[[#This Row],[Type]]="Main-d’œuvre",Lignes_1[[#This Row],[Quantité]]*Lignes_1[[#This Row],[Heures]]*Lignes_1[[#This Row],[Taux horaire]],0))</f>
        <v>0</v>
      </c>
      <c r="P7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7" s="18">
        <f>IF(Lignes_1[[#This Row],[Rôle ou catégorie]]="","",Lignes_1[[#This Row],[Main-d’œuvre]]+Lignes_1[[#This Row],[Débours]])</f>
        <v>0</v>
      </c>
      <c r="R7" s="18"/>
      <c r="T7" s="16">
        <f>IF(Lignes_1[[#This Row],[Rôle ou catégorie]]="","",IFERROR(INDEX(Referentiel[[Type de nature]],MATCH(Lignes_1[[#This Row],[Rôle ou catégorie]],Referentiel[[Entrée]],0)),"?"))</f>
        <v>0</v>
      </c>
    </row>
    <row r="8" spans="1:20">
      <c r="A8" s="15"/>
      <c r="B8" s="16">
        <f>IF(Lignes_1[[#This Row],[Tâche]]="","",IFERROR(INDEX(Taches[[Description]],MATCH(Lignes_1[[#This Row],[Tâche]],Taches[[Entrée]],0)),""))</f>
        <v>0</v>
      </c>
      <c r="C8" s="15"/>
      <c r="D8" s="15"/>
      <c r="I8" s="15"/>
      <c r="J8" s="16">
        <f>IF(Lignes_1[[#This Row],[Rôle ou catégorie]]="","",IFERROR(INDEX(Referentiel[[Nature]],MATCH(Lignes_1[[#This Row],[Rôle ou catégorie]],Referentiel[[Entrée]],0)),"?"))</f>
        <v>0</v>
      </c>
      <c r="K8" s="16">
        <f>IF(Lignes_1[[#This Row],[Rôle ou catégorie]]="","",IFERROR(INDEX(Referentiel[[Code comptable]],MATCH(Lignes_1[[#This Row],[Rôle ou catégorie]],Referentiel[[Entrée]],0)),"?"))</f>
        <v>0</v>
      </c>
      <c r="L8" s="16">
        <f>IF(Lignes_1[[#This Row],[Rôle ou catégorie]]="","",IFERROR(INDEX(Referentiel[[Service]],MATCH(Lignes_1[[#This Row],[Rôle ou catégorie]],Referentiel[[Entrée]],0)),"?")&amp;"")</f>
        <v>0</v>
      </c>
      <c r="M8" s="16">
        <f>IF(Lignes_1[[#This Row],[Rôle ou catégorie]]="","",IFERROR(INDEX(Referentiel[[Taux horaire]],MATCH(Lignes_1[[#This Row],[Rôle ou catégorie]],Referentiel[[Entrée]],0)),"?"))</f>
        <v>0</v>
      </c>
      <c r="N8" s="17">
        <f>IF(Lignes_1[[#This Row],[Rôle ou catégorie]]="","",IF(Lignes_1[[#This Row],[Type]]="Main-d’œuvre",Lignes_1[[#This Row],[Quantité]]*Lignes_1[[#This Row],[Heures]],0))</f>
        <v>0</v>
      </c>
      <c r="O8" s="18">
        <f>IF(Lignes_1[[#This Row],[Rôle ou catégorie]]="","",IF(Lignes_1[[#This Row],[Type]]="Main-d’œuvre",Lignes_1[[#This Row],[Quantité]]*Lignes_1[[#This Row],[Heures]]*Lignes_1[[#This Row],[Taux horaire]],0))</f>
        <v>0</v>
      </c>
      <c r="P8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8" s="18">
        <f>IF(Lignes_1[[#This Row],[Rôle ou catégorie]]="","",Lignes_1[[#This Row],[Main-d’œuvre]]+Lignes_1[[#This Row],[Débours]])</f>
        <v>0</v>
      </c>
      <c r="R8" s="18"/>
      <c r="T8" s="16">
        <f>IF(Lignes_1[[#This Row],[Rôle ou catégorie]]="","",IFERROR(INDEX(Referentiel[[Type de nature]],MATCH(Lignes_1[[#This Row],[Rôle ou catégorie]],Referentiel[[Entrée]],0)),"?"))</f>
        <v>0</v>
      </c>
    </row>
    <row r="9" spans="1:20">
      <c r="A9" s="15"/>
      <c r="B9" s="16">
        <f>IF(Lignes_1[[#This Row],[Tâche]]="","",IFERROR(INDEX(Taches[[Description]],MATCH(Lignes_1[[#This Row],[Tâche]],Taches[[Entrée]],0)),""))</f>
        <v>0</v>
      </c>
      <c r="C9" s="15"/>
      <c r="D9" s="15"/>
      <c r="I9" s="15"/>
      <c r="J9" s="16">
        <f>IF(Lignes_1[[#This Row],[Rôle ou catégorie]]="","",IFERROR(INDEX(Referentiel[[Nature]],MATCH(Lignes_1[[#This Row],[Rôle ou catégorie]],Referentiel[[Entrée]],0)),"?"))</f>
        <v>0</v>
      </c>
      <c r="K9" s="16">
        <f>IF(Lignes_1[[#This Row],[Rôle ou catégorie]]="","",IFERROR(INDEX(Referentiel[[Code comptable]],MATCH(Lignes_1[[#This Row],[Rôle ou catégorie]],Referentiel[[Entrée]],0)),"?"))</f>
        <v>0</v>
      </c>
      <c r="L9" s="16">
        <f>IF(Lignes_1[[#This Row],[Rôle ou catégorie]]="","",IFERROR(INDEX(Referentiel[[Service]],MATCH(Lignes_1[[#This Row],[Rôle ou catégorie]],Referentiel[[Entrée]],0)),"?")&amp;"")</f>
        <v>0</v>
      </c>
      <c r="M9" s="16">
        <f>IF(Lignes_1[[#This Row],[Rôle ou catégorie]]="","",IFERROR(INDEX(Referentiel[[Taux horaire]],MATCH(Lignes_1[[#This Row],[Rôle ou catégorie]],Referentiel[[Entrée]],0)),"?"))</f>
        <v>0</v>
      </c>
      <c r="N9" s="17">
        <f>IF(Lignes_1[[#This Row],[Rôle ou catégorie]]="","",IF(Lignes_1[[#This Row],[Type]]="Main-d’œuvre",Lignes_1[[#This Row],[Quantité]]*Lignes_1[[#This Row],[Heures]],0))</f>
        <v>0</v>
      </c>
      <c r="O9" s="18">
        <f>IF(Lignes_1[[#This Row],[Rôle ou catégorie]]="","",IF(Lignes_1[[#This Row],[Type]]="Main-d’œuvre",Lignes_1[[#This Row],[Quantité]]*Lignes_1[[#This Row],[Heures]]*Lignes_1[[#This Row],[Taux horaire]],0))</f>
        <v>0</v>
      </c>
      <c r="P9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9" s="18">
        <f>IF(Lignes_1[[#This Row],[Rôle ou catégorie]]="","",Lignes_1[[#This Row],[Main-d’œuvre]]+Lignes_1[[#This Row],[Débours]])</f>
        <v>0</v>
      </c>
      <c r="R9" s="18"/>
      <c r="T9" s="16">
        <f>IF(Lignes_1[[#This Row],[Rôle ou catégorie]]="","",IFERROR(INDEX(Referentiel[[Type de nature]],MATCH(Lignes_1[[#This Row],[Rôle ou catégorie]],Referentiel[[Entrée]],0)),"?"))</f>
        <v>0</v>
      </c>
    </row>
    <row r="10" spans="1:20">
      <c r="A10" s="15"/>
      <c r="B10" s="16">
        <f>IF(Lignes_1[[#This Row],[Tâche]]="","",IFERROR(INDEX(Taches[[Description]],MATCH(Lignes_1[[#This Row],[Tâche]],Taches[[Entrée]],0)),""))</f>
        <v>0</v>
      </c>
      <c r="C10" s="15"/>
      <c r="D10" s="15"/>
      <c r="I10" s="15"/>
      <c r="J10" s="16">
        <f>IF(Lignes_1[[#This Row],[Rôle ou catégorie]]="","",IFERROR(INDEX(Referentiel[[Nature]],MATCH(Lignes_1[[#This Row],[Rôle ou catégorie]],Referentiel[[Entrée]],0)),"?"))</f>
        <v>0</v>
      </c>
      <c r="K10" s="16">
        <f>IF(Lignes_1[[#This Row],[Rôle ou catégorie]]="","",IFERROR(INDEX(Referentiel[[Code comptable]],MATCH(Lignes_1[[#This Row],[Rôle ou catégorie]],Referentiel[[Entrée]],0)),"?"))</f>
        <v>0</v>
      </c>
      <c r="L10" s="16">
        <f>IF(Lignes_1[[#This Row],[Rôle ou catégorie]]="","",IFERROR(INDEX(Referentiel[[Service]],MATCH(Lignes_1[[#This Row],[Rôle ou catégorie]],Referentiel[[Entrée]],0)),"?")&amp;"")</f>
        <v>0</v>
      </c>
      <c r="M10" s="16">
        <f>IF(Lignes_1[[#This Row],[Rôle ou catégorie]]="","",IFERROR(INDEX(Referentiel[[Taux horaire]],MATCH(Lignes_1[[#This Row],[Rôle ou catégorie]],Referentiel[[Entrée]],0)),"?"))</f>
        <v>0</v>
      </c>
      <c r="N10" s="17">
        <f>IF(Lignes_1[[#This Row],[Rôle ou catégorie]]="","",IF(Lignes_1[[#This Row],[Type]]="Main-d’œuvre",Lignes_1[[#This Row],[Quantité]]*Lignes_1[[#This Row],[Heures]],0))</f>
        <v>0</v>
      </c>
      <c r="O10" s="18">
        <f>IF(Lignes_1[[#This Row],[Rôle ou catégorie]]="","",IF(Lignes_1[[#This Row],[Type]]="Main-d’œuvre",Lignes_1[[#This Row],[Quantité]]*Lignes_1[[#This Row],[Heures]]*Lignes_1[[#This Row],[Taux horaire]],0))</f>
        <v>0</v>
      </c>
      <c r="P10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0" s="18">
        <f>IF(Lignes_1[[#This Row],[Rôle ou catégorie]]="","",Lignes_1[[#This Row],[Main-d’œuvre]]+Lignes_1[[#This Row],[Débours]])</f>
        <v>0</v>
      </c>
      <c r="R10" s="18"/>
      <c r="T10" s="16">
        <f>IF(Lignes_1[[#This Row],[Rôle ou catégorie]]="","",IFERROR(INDEX(Referentiel[[Type de nature]],MATCH(Lignes_1[[#This Row],[Rôle ou catégorie]],Referentiel[[Entrée]],0)),"?"))</f>
        <v>0</v>
      </c>
    </row>
    <row r="11" spans="1:20">
      <c r="A11" s="15"/>
      <c r="B11" s="16">
        <f>IF(Lignes_1[[#This Row],[Tâche]]="","",IFERROR(INDEX(Taches[[Description]],MATCH(Lignes_1[[#This Row],[Tâche]],Taches[[Entrée]],0)),""))</f>
        <v>0</v>
      </c>
      <c r="C11" s="15"/>
      <c r="D11" s="15"/>
      <c r="I11" s="15"/>
      <c r="J11" s="16">
        <f>IF(Lignes_1[[#This Row],[Rôle ou catégorie]]="","",IFERROR(INDEX(Referentiel[[Nature]],MATCH(Lignes_1[[#This Row],[Rôle ou catégorie]],Referentiel[[Entrée]],0)),"?"))</f>
        <v>0</v>
      </c>
      <c r="K11" s="16">
        <f>IF(Lignes_1[[#This Row],[Rôle ou catégorie]]="","",IFERROR(INDEX(Referentiel[[Code comptable]],MATCH(Lignes_1[[#This Row],[Rôle ou catégorie]],Referentiel[[Entrée]],0)),"?"))</f>
        <v>0</v>
      </c>
      <c r="L11" s="16">
        <f>IF(Lignes_1[[#This Row],[Rôle ou catégorie]]="","",IFERROR(INDEX(Referentiel[[Service]],MATCH(Lignes_1[[#This Row],[Rôle ou catégorie]],Referentiel[[Entrée]],0)),"?")&amp;"")</f>
        <v>0</v>
      </c>
      <c r="M11" s="16">
        <f>IF(Lignes_1[[#This Row],[Rôle ou catégorie]]="","",IFERROR(INDEX(Referentiel[[Taux horaire]],MATCH(Lignes_1[[#This Row],[Rôle ou catégorie]],Referentiel[[Entrée]],0)),"?"))</f>
        <v>0</v>
      </c>
      <c r="N11" s="17">
        <f>IF(Lignes_1[[#This Row],[Rôle ou catégorie]]="","",IF(Lignes_1[[#This Row],[Type]]="Main-d’œuvre",Lignes_1[[#This Row],[Quantité]]*Lignes_1[[#This Row],[Heures]],0))</f>
        <v>0</v>
      </c>
      <c r="O11" s="18">
        <f>IF(Lignes_1[[#This Row],[Rôle ou catégorie]]="","",IF(Lignes_1[[#This Row],[Type]]="Main-d’œuvre",Lignes_1[[#This Row],[Quantité]]*Lignes_1[[#This Row],[Heures]]*Lignes_1[[#This Row],[Taux horaire]],0))</f>
        <v>0</v>
      </c>
      <c r="P11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1" s="18">
        <f>IF(Lignes_1[[#This Row],[Rôle ou catégorie]]="","",Lignes_1[[#This Row],[Main-d’œuvre]]+Lignes_1[[#This Row],[Débours]])</f>
        <v>0</v>
      </c>
      <c r="R11" s="18"/>
      <c r="T11" s="16">
        <f>IF(Lignes_1[[#This Row],[Rôle ou catégorie]]="","",IFERROR(INDEX(Referentiel[[Type de nature]],MATCH(Lignes_1[[#This Row],[Rôle ou catégorie]],Referentiel[[Entrée]],0)),"?"))</f>
        <v>0</v>
      </c>
    </row>
    <row r="12" spans="1:20">
      <c r="A12" s="15"/>
      <c r="B12" s="16">
        <f>IF(Lignes_1[[#This Row],[Tâche]]="","",IFERROR(INDEX(Taches[[Description]],MATCH(Lignes_1[[#This Row],[Tâche]],Taches[[Entrée]],0)),""))</f>
        <v>0</v>
      </c>
      <c r="C12" s="15"/>
      <c r="D12" s="15"/>
      <c r="I12" s="15"/>
      <c r="J12" s="16">
        <f>IF(Lignes_1[[#This Row],[Rôle ou catégorie]]="","",IFERROR(INDEX(Referentiel[[Nature]],MATCH(Lignes_1[[#This Row],[Rôle ou catégorie]],Referentiel[[Entrée]],0)),"?"))</f>
        <v>0</v>
      </c>
      <c r="K12" s="16">
        <f>IF(Lignes_1[[#This Row],[Rôle ou catégorie]]="","",IFERROR(INDEX(Referentiel[[Code comptable]],MATCH(Lignes_1[[#This Row],[Rôle ou catégorie]],Referentiel[[Entrée]],0)),"?"))</f>
        <v>0</v>
      </c>
      <c r="L12" s="16">
        <f>IF(Lignes_1[[#This Row],[Rôle ou catégorie]]="","",IFERROR(INDEX(Referentiel[[Service]],MATCH(Lignes_1[[#This Row],[Rôle ou catégorie]],Referentiel[[Entrée]],0)),"?")&amp;"")</f>
        <v>0</v>
      </c>
      <c r="M12" s="16">
        <f>IF(Lignes_1[[#This Row],[Rôle ou catégorie]]="","",IFERROR(INDEX(Referentiel[[Taux horaire]],MATCH(Lignes_1[[#This Row],[Rôle ou catégorie]],Referentiel[[Entrée]],0)),"?"))</f>
        <v>0</v>
      </c>
      <c r="N12" s="17">
        <f>IF(Lignes_1[[#This Row],[Rôle ou catégorie]]="","",IF(Lignes_1[[#This Row],[Type]]="Main-d’œuvre",Lignes_1[[#This Row],[Quantité]]*Lignes_1[[#This Row],[Heures]],0))</f>
        <v>0</v>
      </c>
      <c r="O12" s="18">
        <f>IF(Lignes_1[[#This Row],[Rôle ou catégorie]]="","",IF(Lignes_1[[#This Row],[Type]]="Main-d’œuvre",Lignes_1[[#This Row],[Quantité]]*Lignes_1[[#This Row],[Heures]]*Lignes_1[[#This Row],[Taux horaire]],0))</f>
        <v>0</v>
      </c>
      <c r="P12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2" s="18">
        <f>IF(Lignes_1[[#This Row],[Rôle ou catégorie]]="","",Lignes_1[[#This Row],[Main-d’œuvre]]+Lignes_1[[#This Row],[Débours]])</f>
        <v>0</v>
      </c>
      <c r="R12" s="18"/>
      <c r="T12" s="16">
        <f>IF(Lignes_1[[#This Row],[Rôle ou catégorie]]="","",IFERROR(INDEX(Referentiel[[Type de nature]],MATCH(Lignes_1[[#This Row],[Rôle ou catégorie]],Referentiel[[Entrée]],0)),"?"))</f>
        <v>0</v>
      </c>
    </row>
    <row r="13" spans="1:20">
      <c r="A13" s="15"/>
      <c r="B13" s="16">
        <f>IF(Lignes_1[[#This Row],[Tâche]]="","",IFERROR(INDEX(Taches[[Description]],MATCH(Lignes_1[[#This Row],[Tâche]],Taches[[Entrée]],0)),""))</f>
        <v>0</v>
      </c>
      <c r="C13" s="15"/>
      <c r="D13" s="15"/>
      <c r="I13" s="15"/>
      <c r="J13" s="16">
        <f>IF(Lignes_1[[#This Row],[Rôle ou catégorie]]="","",IFERROR(INDEX(Referentiel[[Nature]],MATCH(Lignes_1[[#This Row],[Rôle ou catégorie]],Referentiel[[Entrée]],0)),"?"))</f>
        <v>0</v>
      </c>
      <c r="K13" s="16">
        <f>IF(Lignes_1[[#This Row],[Rôle ou catégorie]]="","",IFERROR(INDEX(Referentiel[[Code comptable]],MATCH(Lignes_1[[#This Row],[Rôle ou catégorie]],Referentiel[[Entrée]],0)),"?"))</f>
        <v>0</v>
      </c>
      <c r="L13" s="16">
        <f>IF(Lignes_1[[#This Row],[Rôle ou catégorie]]="","",IFERROR(INDEX(Referentiel[[Service]],MATCH(Lignes_1[[#This Row],[Rôle ou catégorie]],Referentiel[[Entrée]],0)),"?")&amp;"")</f>
        <v>0</v>
      </c>
      <c r="M13" s="16">
        <f>IF(Lignes_1[[#This Row],[Rôle ou catégorie]]="","",IFERROR(INDEX(Referentiel[[Taux horaire]],MATCH(Lignes_1[[#This Row],[Rôle ou catégorie]],Referentiel[[Entrée]],0)),"?"))</f>
        <v>0</v>
      </c>
      <c r="N13" s="17">
        <f>IF(Lignes_1[[#This Row],[Rôle ou catégorie]]="","",IF(Lignes_1[[#This Row],[Type]]="Main-d’œuvre",Lignes_1[[#This Row],[Quantité]]*Lignes_1[[#This Row],[Heures]],0))</f>
        <v>0</v>
      </c>
      <c r="O13" s="18">
        <f>IF(Lignes_1[[#This Row],[Rôle ou catégorie]]="","",IF(Lignes_1[[#This Row],[Type]]="Main-d’œuvre",Lignes_1[[#This Row],[Quantité]]*Lignes_1[[#This Row],[Heures]]*Lignes_1[[#This Row],[Taux horaire]],0))</f>
        <v>0</v>
      </c>
      <c r="P13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3" s="18">
        <f>IF(Lignes_1[[#This Row],[Rôle ou catégorie]]="","",Lignes_1[[#This Row],[Main-d’œuvre]]+Lignes_1[[#This Row],[Débours]])</f>
        <v>0</v>
      </c>
      <c r="R13" s="18"/>
      <c r="T13" s="16">
        <f>IF(Lignes_1[[#This Row],[Rôle ou catégorie]]="","",IFERROR(INDEX(Referentiel[[Type de nature]],MATCH(Lignes_1[[#This Row],[Rôle ou catégorie]],Referentiel[[Entrée]],0)),"?"))</f>
        <v>0</v>
      </c>
    </row>
    <row r="14" spans="1:20">
      <c r="A14" s="15"/>
      <c r="B14" s="16">
        <f>IF(Lignes_1[[#This Row],[Tâche]]="","",IFERROR(INDEX(Taches[[Description]],MATCH(Lignes_1[[#This Row],[Tâche]],Taches[[Entrée]],0)),""))</f>
        <v>0</v>
      </c>
      <c r="C14" s="15"/>
      <c r="D14" s="15"/>
      <c r="I14" s="15"/>
      <c r="J14" s="16">
        <f>IF(Lignes_1[[#This Row],[Rôle ou catégorie]]="","",IFERROR(INDEX(Referentiel[[Nature]],MATCH(Lignes_1[[#This Row],[Rôle ou catégorie]],Referentiel[[Entrée]],0)),"?"))</f>
        <v>0</v>
      </c>
      <c r="K14" s="16">
        <f>IF(Lignes_1[[#This Row],[Rôle ou catégorie]]="","",IFERROR(INDEX(Referentiel[[Code comptable]],MATCH(Lignes_1[[#This Row],[Rôle ou catégorie]],Referentiel[[Entrée]],0)),"?"))</f>
        <v>0</v>
      </c>
      <c r="L14" s="16">
        <f>IF(Lignes_1[[#This Row],[Rôle ou catégorie]]="","",IFERROR(INDEX(Referentiel[[Service]],MATCH(Lignes_1[[#This Row],[Rôle ou catégorie]],Referentiel[[Entrée]],0)),"?")&amp;"")</f>
        <v>0</v>
      </c>
      <c r="M14" s="16">
        <f>IF(Lignes_1[[#This Row],[Rôle ou catégorie]]="","",IFERROR(INDEX(Referentiel[[Taux horaire]],MATCH(Lignes_1[[#This Row],[Rôle ou catégorie]],Referentiel[[Entrée]],0)),"?"))</f>
        <v>0</v>
      </c>
      <c r="N14" s="17">
        <f>IF(Lignes_1[[#This Row],[Rôle ou catégorie]]="","",IF(Lignes_1[[#This Row],[Type]]="Main-d’œuvre",Lignes_1[[#This Row],[Quantité]]*Lignes_1[[#This Row],[Heures]],0))</f>
        <v>0</v>
      </c>
      <c r="O14" s="18">
        <f>IF(Lignes_1[[#This Row],[Rôle ou catégorie]]="","",IF(Lignes_1[[#This Row],[Type]]="Main-d’œuvre",Lignes_1[[#This Row],[Quantité]]*Lignes_1[[#This Row],[Heures]]*Lignes_1[[#This Row],[Taux horaire]],0))</f>
        <v>0</v>
      </c>
      <c r="P14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4" s="18">
        <f>IF(Lignes_1[[#This Row],[Rôle ou catégorie]]="","",Lignes_1[[#This Row],[Main-d’œuvre]]+Lignes_1[[#This Row],[Débours]])</f>
        <v>0</v>
      </c>
      <c r="R14" s="18"/>
      <c r="T14" s="16">
        <f>IF(Lignes_1[[#This Row],[Rôle ou catégorie]]="","",IFERROR(INDEX(Referentiel[[Type de nature]],MATCH(Lignes_1[[#This Row],[Rôle ou catégorie]],Referentiel[[Entrée]],0)),"?"))</f>
        <v>0</v>
      </c>
    </row>
    <row r="15" spans="1:20">
      <c r="A15" s="15"/>
      <c r="B15" s="16">
        <f>IF(Lignes_1[[#This Row],[Tâche]]="","",IFERROR(INDEX(Taches[[Description]],MATCH(Lignes_1[[#This Row],[Tâche]],Taches[[Entrée]],0)),""))</f>
        <v>0</v>
      </c>
      <c r="C15" s="15"/>
      <c r="D15" s="15"/>
      <c r="I15" s="15"/>
      <c r="J15" s="16">
        <f>IF(Lignes_1[[#This Row],[Rôle ou catégorie]]="","",IFERROR(INDEX(Referentiel[[Nature]],MATCH(Lignes_1[[#This Row],[Rôle ou catégorie]],Referentiel[[Entrée]],0)),"?"))</f>
        <v>0</v>
      </c>
      <c r="K15" s="16">
        <f>IF(Lignes_1[[#This Row],[Rôle ou catégorie]]="","",IFERROR(INDEX(Referentiel[[Code comptable]],MATCH(Lignes_1[[#This Row],[Rôle ou catégorie]],Referentiel[[Entrée]],0)),"?"))</f>
        <v>0</v>
      </c>
      <c r="L15" s="16">
        <f>IF(Lignes_1[[#This Row],[Rôle ou catégorie]]="","",IFERROR(INDEX(Referentiel[[Service]],MATCH(Lignes_1[[#This Row],[Rôle ou catégorie]],Referentiel[[Entrée]],0)),"?")&amp;"")</f>
        <v>0</v>
      </c>
      <c r="M15" s="16">
        <f>IF(Lignes_1[[#This Row],[Rôle ou catégorie]]="","",IFERROR(INDEX(Referentiel[[Taux horaire]],MATCH(Lignes_1[[#This Row],[Rôle ou catégorie]],Referentiel[[Entrée]],0)),"?"))</f>
        <v>0</v>
      </c>
      <c r="N15" s="17">
        <f>IF(Lignes_1[[#This Row],[Rôle ou catégorie]]="","",IF(Lignes_1[[#This Row],[Type]]="Main-d’œuvre",Lignes_1[[#This Row],[Quantité]]*Lignes_1[[#This Row],[Heures]],0))</f>
        <v>0</v>
      </c>
      <c r="O15" s="18">
        <f>IF(Lignes_1[[#This Row],[Rôle ou catégorie]]="","",IF(Lignes_1[[#This Row],[Type]]="Main-d’œuvre",Lignes_1[[#This Row],[Quantité]]*Lignes_1[[#This Row],[Heures]]*Lignes_1[[#This Row],[Taux horaire]],0))</f>
        <v>0</v>
      </c>
      <c r="P15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5" s="18">
        <f>IF(Lignes_1[[#This Row],[Rôle ou catégorie]]="","",Lignes_1[[#This Row],[Main-d’œuvre]]+Lignes_1[[#This Row],[Débours]])</f>
        <v>0</v>
      </c>
      <c r="R15" s="18"/>
      <c r="T15" s="16">
        <f>IF(Lignes_1[[#This Row],[Rôle ou catégorie]]="","",IFERROR(INDEX(Referentiel[[Type de nature]],MATCH(Lignes_1[[#This Row],[Rôle ou catégorie]],Referentiel[[Entrée]],0)),"?"))</f>
        <v>0</v>
      </c>
    </row>
    <row r="16" spans="1:20">
      <c r="A16" s="15"/>
      <c r="B16" s="16">
        <f>IF(Lignes_1[[#This Row],[Tâche]]="","",IFERROR(INDEX(Taches[[Description]],MATCH(Lignes_1[[#This Row],[Tâche]],Taches[[Entrée]],0)),""))</f>
        <v>0</v>
      </c>
      <c r="C16" s="15"/>
      <c r="D16" s="15"/>
      <c r="I16" s="15"/>
      <c r="J16" s="16">
        <f>IF(Lignes_1[[#This Row],[Rôle ou catégorie]]="","",IFERROR(INDEX(Referentiel[[Nature]],MATCH(Lignes_1[[#This Row],[Rôle ou catégorie]],Referentiel[[Entrée]],0)),"?"))</f>
        <v>0</v>
      </c>
      <c r="K16" s="16">
        <f>IF(Lignes_1[[#This Row],[Rôle ou catégorie]]="","",IFERROR(INDEX(Referentiel[[Code comptable]],MATCH(Lignes_1[[#This Row],[Rôle ou catégorie]],Referentiel[[Entrée]],0)),"?"))</f>
        <v>0</v>
      </c>
      <c r="L16" s="16">
        <f>IF(Lignes_1[[#This Row],[Rôle ou catégorie]]="","",IFERROR(INDEX(Referentiel[[Service]],MATCH(Lignes_1[[#This Row],[Rôle ou catégorie]],Referentiel[[Entrée]],0)),"?")&amp;"")</f>
        <v>0</v>
      </c>
      <c r="M16" s="16">
        <f>IF(Lignes_1[[#This Row],[Rôle ou catégorie]]="","",IFERROR(INDEX(Referentiel[[Taux horaire]],MATCH(Lignes_1[[#This Row],[Rôle ou catégorie]],Referentiel[[Entrée]],0)),"?"))</f>
        <v>0</v>
      </c>
      <c r="N16" s="17">
        <f>IF(Lignes_1[[#This Row],[Rôle ou catégorie]]="","",IF(Lignes_1[[#This Row],[Type]]="Main-d’œuvre",Lignes_1[[#This Row],[Quantité]]*Lignes_1[[#This Row],[Heures]],0))</f>
        <v>0</v>
      </c>
      <c r="O16" s="18">
        <f>IF(Lignes_1[[#This Row],[Rôle ou catégorie]]="","",IF(Lignes_1[[#This Row],[Type]]="Main-d’œuvre",Lignes_1[[#This Row],[Quantité]]*Lignes_1[[#This Row],[Heures]]*Lignes_1[[#This Row],[Taux horaire]],0))</f>
        <v>0</v>
      </c>
      <c r="P16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6" s="18">
        <f>IF(Lignes_1[[#This Row],[Rôle ou catégorie]]="","",Lignes_1[[#This Row],[Main-d’œuvre]]+Lignes_1[[#This Row],[Débours]])</f>
        <v>0</v>
      </c>
      <c r="R16" s="18"/>
      <c r="T16" s="16">
        <f>IF(Lignes_1[[#This Row],[Rôle ou catégorie]]="","",IFERROR(INDEX(Referentiel[[Type de nature]],MATCH(Lignes_1[[#This Row],[Rôle ou catégorie]],Referentiel[[Entrée]],0)),"?"))</f>
        <v>0</v>
      </c>
    </row>
    <row r="17" spans="1:20">
      <c r="A17" s="15"/>
      <c r="B17" s="16">
        <f>IF(Lignes_1[[#This Row],[Tâche]]="","",IFERROR(INDEX(Taches[[Description]],MATCH(Lignes_1[[#This Row],[Tâche]],Taches[[Entrée]],0)),""))</f>
        <v>0</v>
      </c>
      <c r="C17" s="15"/>
      <c r="D17" s="15"/>
      <c r="I17" s="15"/>
      <c r="J17" s="16">
        <f>IF(Lignes_1[[#This Row],[Rôle ou catégorie]]="","",IFERROR(INDEX(Referentiel[[Nature]],MATCH(Lignes_1[[#This Row],[Rôle ou catégorie]],Referentiel[[Entrée]],0)),"?"))</f>
        <v>0</v>
      </c>
      <c r="K17" s="16">
        <f>IF(Lignes_1[[#This Row],[Rôle ou catégorie]]="","",IFERROR(INDEX(Referentiel[[Code comptable]],MATCH(Lignes_1[[#This Row],[Rôle ou catégorie]],Referentiel[[Entrée]],0)),"?"))</f>
        <v>0</v>
      </c>
      <c r="L17" s="16">
        <f>IF(Lignes_1[[#This Row],[Rôle ou catégorie]]="","",IFERROR(INDEX(Referentiel[[Service]],MATCH(Lignes_1[[#This Row],[Rôle ou catégorie]],Referentiel[[Entrée]],0)),"?")&amp;"")</f>
        <v>0</v>
      </c>
      <c r="M17" s="16">
        <f>IF(Lignes_1[[#This Row],[Rôle ou catégorie]]="","",IFERROR(INDEX(Referentiel[[Taux horaire]],MATCH(Lignes_1[[#This Row],[Rôle ou catégorie]],Referentiel[[Entrée]],0)),"?"))</f>
        <v>0</v>
      </c>
      <c r="N17" s="17">
        <f>IF(Lignes_1[[#This Row],[Rôle ou catégorie]]="","",IF(Lignes_1[[#This Row],[Type]]="Main-d’œuvre",Lignes_1[[#This Row],[Quantité]]*Lignes_1[[#This Row],[Heures]],0))</f>
        <v>0</v>
      </c>
      <c r="O17" s="18">
        <f>IF(Lignes_1[[#This Row],[Rôle ou catégorie]]="","",IF(Lignes_1[[#This Row],[Type]]="Main-d’œuvre",Lignes_1[[#This Row],[Quantité]]*Lignes_1[[#This Row],[Heures]]*Lignes_1[[#This Row],[Taux horaire]],0))</f>
        <v>0</v>
      </c>
      <c r="P17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7" s="18">
        <f>IF(Lignes_1[[#This Row],[Rôle ou catégorie]]="","",Lignes_1[[#This Row],[Main-d’œuvre]]+Lignes_1[[#This Row],[Débours]])</f>
        <v>0</v>
      </c>
      <c r="R17" s="18"/>
      <c r="T17" s="16">
        <f>IF(Lignes_1[[#This Row],[Rôle ou catégorie]]="","",IFERROR(INDEX(Referentiel[[Type de nature]],MATCH(Lignes_1[[#This Row],[Rôle ou catégorie]],Referentiel[[Entrée]],0)),"?"))</f>
        <v>0</v>
      </c>
    </row>
    <row r="18" spans="1:20">
      <c r="A18" s="15"/>
      <c r="B18" s="16">
        <f>IF(Lignes_1[[#This Row],[Tâche]]="","",IFERROR(INDEX(Taches[[Description]],MATCH(Lignes_1[[#This Row],[Tâche]],Taches[[Entrée]],0)),""))</f>
        <v>0</v>
      </c>
      <c r="C18" s="15"/>
      <c r="D18" s="15"/>
      <c r="I18" s="15"/>
      <c r="J18" s="16">
        <f>IF(Lignes_1[[#This Row],[Rôle ou catégorie]]="","",IFERROR(INDEX(Referentiel[[Nature]],MATCH(Lignes_1[[#This Row],[Rôle ou catégorie]],Referentiel[[Entrée]],0)),"?"))</f>
        <v>0</v>
      </c>
      <c r="K18" s="16">
        <f>IF(Lignes_1[[#This Row],[Rôle ou catégorie]]="","",IFERROR(INDEX(Referentiel[[Code comptable]],MATCH(Lignes_1[[#This Row],[Rôle ou catégorie]],Referentiel[[Entrée]],0)),"?"))</f>
        <v>0</v>
      </c>
      <c r="L18" s="16">
        <f>IF(Lignes_1[[#This Row],[Rôle ou catégorie]]="","",IFERROR(INDEX(Referentiel[[Service]],MATCH(Lignes_1[[#This Row],[Rôle ou catégorie]],Referentiel[[Entrée]],0)),"?")&amp;"")</f>
        <v>0</v>
      </c>
      <c r="M18" s="16">
        <f>IF(Lignes_1[[#This Row],[Rôle ou catégorie]]="","",IFERROR(INDEX(Referentiel[[Taux horaire]],MATCH(Lignes_1[[#This Row],[Rôle ou catégorie]],Referentiel[[Entrée]],0)),"?"))</f>
        <v>0</v>
      </c>
      <c r="N18" s="17">
        <f>IF(Lignes_1[[#This Row],[Rôle ou catégorie]]="","",IF(Lignes_1[[#This Row],[Type]]="Main-d’œuvre",Lignes_1[[#This Row],[Quantité]]*Lignes_1[[#This Row],[Heures]],0))</f>
        <v>0</v>
      </c>
      <c r="O18" s="18">
        <f>IF(Lignes_1[[#This Row],[Rôle ou catégorie]]="","",IF(Lignes_1[[#This Row],[Type]]="Main-d’œuvre",Lignes_1[[#This Row],[Quantité]]*Lignes_1[[#This Row],[Heures]]*Lignes_1[[#This Row],[Taux horaire]],0))</f>
        <v>0</v>
      </c>
      <c r="P18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8" s="18">
        <f>IF(Lignes_1[[#This Row],[Rôle ou catégorie]]="","",Lignes_1[[#This Row],[Main-d’œuvre]]+Lignes_1[[#This Row],[Débours]])</f>
        <v>0</v>
      </c>
      <c r="R18" s="18"/>
      <c r="T18" s="16">
        <f>IF(Lignes_1[[#This Row],[Rôle ou catégorie]]="","",IFERROR(INDEX(Referentiel[[Type de nature]],MATCH(Lignes_1[[#This Row],[Rôle ou catégorie]],Referentiel[[Entrée]],0)),"?"))</f>
        <v>0</v>
      </c>
    </row>
    <row r="19" spans="1:20">
      <c r="A19" s="15"/>
      <c r="B19" s="16">
        <f>IF(Lignes_1[[#This Row],[Tâche]]="","",IFERROR(INDEX(Taches[[Description]],MATCH(Lignes_1[[#This Row],[Tâche]],Taches[[Entrée]],0)),""))</f>
        <v>0</v>
      </c>
      <c r="C19" s="15"/>
      <c r="D19" s="15"/>
      <c r="I19" s="15"/>
      <c r="J19" s="16">
        <f>IF(Lignes_1[[#This Row],[Rôle ou catégorie]]="","",IFERROR(INDEX(Referentiel[[Nature]],MATCH(Lignes_1[[#This Row],[Rôle ou catégorie]],Referentiel[[Entrée]],0)),"?"))</f>
        <v>0</v>
      </c>
      <c r="K19" s="16">
        <f>IF(Lignes_1[[#This Row],[Rôle ou catégorie]]="","",IFERROR(INDEX(Referentiel[[Code comptable]],MATCH(Lignes_1[[#This Row],[Rôle ou catégorie]],Referentiel[[Entrée]],0)),"?"))</f>
        <v>0</v>
      </c>
      <c r="L19" s="16">
        <f>IF(Lignes_1[[#This Row],[Rôle ou catégorie]]="","",IFERROR(INDEX(Referentiel[[Service]],MATCH(Lignes_1[[#This Row],[Rôle ou catégorie]],Referentiel[[Entrée]],0)),"?")&amp;"")</f>
        <v>0</v>
      </c>
      <c r="M19" s="16">
        <f>IF(Lignes_1[[#This Row],[Rôle ou catégorie]]="","",IFERROR(INDEX(Referentiel[[Taux horaire]],MATCH(Lignes_1[[#This Row],[Rôle ou catégorie]],Referentiel[[Entrée]],0)),"?"))</f>
        <v>0</v>
      </c>
      <c r="N19" s="17">
        <f>IF(Lignes_1[[#This Row],[Rôle ou catégorie]]="","",IF(Lignes_1[[#This Row],[Type]]="Main-d’œuvre",Lignes_1[[#This Row],[Quantité]]*Lignes_1[[#This Row],[Heures]],0))</f>
        <v>0</v>
      </c>
      <c r="O19" s="18">
        <f>IF(Lignes_1[[#This Row],[Rôle ou catégorie]]="","",IF(Lignes_1[[#This Row],[Type]]="Main-d’œuvre",Lignes_1[[#This Row],[Quantité]]*Lignes_1[[#This Row],[Heures]]*Lignes_1[[#This Row],[Taux horaire]],0))</f>
        <v>0</v>
      </c>
      <c r="P19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19" s="18">
        <f>IF(Lignes_1[[#This Row],[Rôle ou catégorie]]="","",Lignes_1[[#This Row],[Main-d’œuvre]]+Lignes_1[[#This Row],[Débours]])</f>
        <v>0</v>
      </c>
      <c r="R19" s="18"/>
      <c r="T19" s="16">
        <f>IF(Lignes_1[[#This Row],[Rôle ou catégorie]]="","",IFERROR(INDEX(Referentiel[[Type de nature]],MATCH(Lignes_1[[#This Row],[Rôle ou catégorie]],Referentiel[[Entrée]],0)),"?"))</f>
        <v>0</v>
      </c>
    </row>
    <row r="20" spans="1:20">
      <c r="A20" s="15"/>
      <c r="B20" s="16">
        <f>IF(Lignes_1[[#This Row],[Tâche]]="","",IFERROR(INDEX(Taches[[Description]],MATCH(Lignes_1[[#This Row],[Tâche]],Taches[[Entrée]],0)),""))</f>
        <v>0</v>
      </c>
      <c r="C20" s="15"/>
      <c r="D20" s="15"/>
      <c r="I20" s="15"/>
      <c r="J20" s="16">
        <f>IF(Lignes_1[[#This Row],[Rôle ou catégorie]]="","",IFERROR(INDEX(Referentiel[[Nature]],MATCH(Lignes_1[[#This Row],[Rôle ou catégorie]],Referentiel[[Entrée]],0)),"?"))</f>
        <v>0</v>
      </c>
      <c r="K20" s="16">
        <f>IF(Lignes_1[[#This Row],[Rôle ou catégorie]]="","",IFERROR(INDEX(Referentiel[[Code comptable]],MATCH(Lignes_1[[#This Row],[Rôle ou catégorie]],Referentiel[[Entrée]],0)),"?"))</f>
        <v>0</v>
      </c>
      <c r="L20" s="16">
        <f>IF(Lignes_1[[#This Row],[Rôle ou catégorie]]="","",IFERROR(INDEX(Referentiel[[Service]],MATCH(Lignes_1[[#This Row],[Rôle ou catégorie]],Referentiel[[Entrée]],0)),"?")&amp;"")</f>
        <v>0</v>
      </c>
      <c r="M20" s="16">
        <f>IF(Lignes_1[[#This Row],[Rôle ou catégorie]]="","",IFERROR(INDEX(Referentiel[[Taux horaire]],MATCH(Lignes_1[[#This Row],[Rôle ou catégorie]],Referentiel[[Entrée]],0)),"?"))</f>
        <v>0</v>
      </c>
      <c r="N20" s="17">
        <f>IF(Lignes_1[[#This Row],[Rôle ou catégorie]]="","",IF(Lignes_1[[#This Row],[Type]]="Main-d’œuvre",Lignes_1[[#This Row],[Quantité]]*Lignes_1[[#This Row],[Heures]],0))</f>
        <v>0</v>
      </c>
      <c r="O20" s="18">
        <f>IF(Lignes_1[[#This Row],[Rôle ou catégorie]]="","",IF(Lignes_1[[#This Row],[Type]]="Main-d’œuvre",Lignes_1[[#This Row],[Quantité]]*Lignes_1[[#This Row],[Heures]]*Lignes_1[[#This Row],[Taux horaire]],0))</f>
        <v>0</v>
      </c>
      <c r="P20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0" s="18">
        <f>IF(Lignes_1[[#This Row],[Rôle ou catégorie]]="","",Lignes_1[[#This Row],[Main-d’œuvre]]+Lignes_1[[#This Row],[Débours]])</f>
        <v>0</v>
      </c>
      <c r="R20" s="18"/>
      <c r="T20" s="16">
        <f>IF(Lignes_1[[#This Row],[Rôle ou catégorie]]="","",IFERROR(INDEX(Referentiel[[Type de nature]],MATCH(Lignes_1[[#This Row],[Rôle ou catégorie]],Referentiel[[Entrée]],0)),"?"))</f>
        <v>0</v>
      </c>
    </row>
    <row r="21" spans="1:20">
      <c r="A21" s="15"/>
      <c r="B21" s="16">
        <f>IF(Lignes_1[[#This Row],[Tâche]]="","",IFERROR(INDEX(Taches[[Description]],MATCH(Lignes_1[[#This Row],[Tâche]],Taches[[Entrée]],0)),""))</f>
        <v>0</v>
      </c>
      <c r="C21" s="15"/>
      <c r="D21" s="15"/>
      <c r="I21" s="15"/>
      <c r="J21" s="16">
        <f>IF(Lignes_1[[#This Row],[Rôle ou catégorie]]="","",IFERROR(INDEX(Referentiel[[Nature]],MATCH(Lignes_1[[#This Row],[Rôle ou catégorie]],Referentiel[[Entrée]],0)),"?"))</f>
        <v>0</v>
      </c>
      <c r="K21" s="16">
        <f>IF(Lignes_1[[#This Row],[Rôle ou catégorie]]="","",IFERROR(INDEX(Referentiel[[Code comptable]],MATCH(Lignes_1[[#This Row],[Rôle ou catégorie]],Referentiel[[Entrée]],0)),"?"))</f>
        <v>0</v>
      </c>
      <c r="L21" s="16">
        <f>IF(Lignes_1[[#This Row],[Rôle ou catégorie]]="","",IFERROR(INDEX(Referentiel[[Service]],MATCH(Lignes_1[[#This Row],[Rôle ou catégorie]],Referentiel[[Entrée]],0)),"?")&amp;"")</f>
        <v>0</v>
      </c>
      <c r="M21" s="16">
        <f>IF(Lignes_1[[#This Row],[Rôle ou catégorie]]="","",IFERROR(INDEX(Referentiel[[Taux horaire]],MATCH(Lignes_1[[#This Row],[Rôle ou catégorie]],Referentiel[[Entrée]],0)),"?"))</f>
        <v>0</v>
      </c>
      <c r="N21" s="17">
        <f>IF(Lignes_1[[#This Row],[Rôle ou catégorie]]="","",IF(Lignes_1[[#This Row],[Type]]="Main-d’œuvre",Lignes_1[[#This Row],[Quantité]]*Lignes_1[[#This Row],[Heures]],0))</f>
        <v>0</v>
      </c>
      <c r="O21" s="18">
        <f>IF(Lignes_1[[#This Row],[Rôle ou catégorie]]="","",IF(Lignes_1[[#This Row],[Type]]="Main-d’œuvre",Lignes_1[[#This Row],[Quantité]]*Lignes_1[[#This Row],[Heures]]*Lignes_1[[#This Row],[Taux horaire]],0))</f>
        <v>0</v>
      </c>
      <c r="P21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1" s="18">
        <f>IF(Lignes_1[[#This Row],[Rôle ou catégorie]]="","",Lignes_1[[#This Row],[Main-d’œuvre]]+Lignes_1[[#This Row],[Débours]])</f>
        <v>0</v>
      </c>
      <c r="R21" s="18"/>
      <c r="T21" s="16">
        <f>IF(Lignes_1[[#This Row],[Rôle ou catégorie]]="","",IFERROR(INDEX(Referentiel[[Type de nature]],MATCH(Lignes_1[[#This Row],[Rôle ou catégorie]],Referentiel[[Entrée]],0)),"?"))</f>
        <v>0</v>
      </c>
    </row>
    <row r="22" spans="1:20">
      <c r="A22" s="15"/>
      <c r="B22" s="16">
        <f>IF(Lignes_1[[#This Row],[Tâche]]="","",IFERROR(INDEX(Taches[[Description]],MATCH(Lignes_1[[#This Row],[Tâche]],Taches[[Entrée]],0)),""))</f>
        <v>0</v>
      </c>
      <c r="C22" s="15"/>
      <c r="D22" s="15"/>
      <c r="I22" s="15"/>
      <c r="J22" s="16">
        <f>IF(Lignes_1[[#This Row],[Rôle ou catégorie]]="","",IFERROR(INDEX(Referentiel[[Nature]],MATCH(Lignes_1[[#This Row],[Rôle ou catégorie]],Referentiel[[Entrée]],0)),"?"))</f>
        <v>0</v>
      </c>
      <c r="K22" s="16">
        <f>IF(Lignes_1[[#This Row],[Rôle ou catégorie]]="","",IFERROR(INDEX(Referentiel[[Code comptable]],MATCH(Lignes_1[[#This Row],[Rôle ou catégorie]],Referentiel[[Entrée]],0)),"?"))</f>
        <v>0</v>
      </c>
      <c r="L22" s="16">
        <f>IF(Lignes_1[[#This Row],[Rôle ou catégorie]]="","",IFERROR(INDEX(Referentiel[[Service]],MATCH(Lignes_1[[#This Row],[Rôle ou catégorie]],Referentiel[[Entrée]],0)),"?")&amp;"")</f>
        <v>0</v>
      </c>
      <c r="M22" s="16">
        <f>IF(Lignes_1[[#This Row],[Rôle ou catégorie]]="","",IFERROR(INDEX(Referentiel[[Taux horaire]],MATCH(Lignes_1[[#This Row],[Rôle ou catégorie]],Referentiel[[Entrée]],0)),"?"))</f>
        <v>0</v>
      </c>
      <c r="N22" s="17">
        <f>IF(Lignes_1[[#This Row],[Rôle ou catégorie]]="","",IF(Lignes_1[[#This Row],[Type]]="Main-d’œuvre",Lignes_1[[#This Row],[Quantité]]*Lignes_1[[#This Row],[Heures]],0))</f>
        <v>0</v>
      </c>
      <c r="O22" s="18">
        <f>IF(Lignes_1[[#This Row],[Rôle ou catégorie]]="","",IF(Lignes_1[[#This Row],[Type]]="Main-d’œuvre",Lignes_1[[#This Row],[Quantité]]*Lignes_1[[#This Row],[Heures]]*Lignes_1[[#This Row],[Taux horaire]],0))</f>
        <v>0</v>
      </c>
      <c r="P22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2" s="18">
        <f>IF(Lignes_1[[#This Row],[Rôle ou catégorie]]="","",Lignes_1[[#This Row],[Main-d’œuvre]]+Lignes_1[[#This Row],[Débours]])</f>
        <v>0</v>
      </c>
      <c r="R22" s="18"/>
      <c r="T22" s="16">
        <f>IF(Lignes_1[[#This Row],[Rôle ou catégorie]]="","",IFERROR(INDEX(Referentiel[[Type de nature]],MATCH(Lignes_1[[#This Row],[Rôle ou catégorie]],Referentiel[[Entrée]],0)),"?"))</f>
        <v>0</v>
      </c>
    </row>
    <row r="23" spans="1:20">
      <c r="A23" s="15"/>
      <c r="B23" s="16">
        <f>IF(Lignes_1[[#This Row],[Tâche]]="","",IFERROR(INDEX(Taches[[Description]],MATCH(Lignes_1[[#This Row],[Tâche]],Taches[[Entrée]],0)),""))</f>
        <v>0</v>
      </c>
      <c r="C23" s="15"/>
      <c r="D23" s="15"/>
      <c r="I23" s="15"/>
      <c r="J23" s="16">
        <f>IF(Lignes_1[[#This Row],[Rôle ou catégorie]]="","",IFERROR(INDEX(Referentiel[[Nature]],MATCH(Lignes_1[[#This Row],[Rôle ou catégorie]],Referentiel[[Entrée]],0)),"?"))</f>
        <v>0</v>
      </c>
      <c r="K23" s="16">
        <f>IF(Lignes_1[[#This Row],[Rôle ou catégorie]]="","",IFERROR(INDEX(Referentiel[[Code comptable]],MATCH(Lignes_1[[#This Row],[Rôle ou catégorie]],Referentiel[[Entrée]],0)),"?"))</f>
        <v>0</v>
      </c>
      <c r="L23" s="16">
        <f>IF(Lignes_1[[#This Row],[Rôle ou catégorie]]="","",IFERROR(INDEX(Referentiel[[Service]],MATCH(Lignes_1[[#This Row],[Rôle ou catégorie]],Referentiel[[Entrée]],0)),"?")&amp;"")</f>
        <v>0</v>
      </c>
      <c r="M23" s="16">
        <f>IF(Lignes_1[[#This Row],[Rôle ou catégorie]]="","",IFERROR(INDEX(Referentiel[[Taux horaire]],MATCH(Lignes_1[[#This Row],[Rôle ou catégorie]],Referentiel[[Entrée]],0)),"?"))</f>
        <v>0</v>
      </c>
      <c r="N23" s="17">
        <f>IF(Lignes_1[[#This Row],[Rôle ou catégorie]]="","",IF(Lignes_1[[#This Row],[Type]]="Main-d’œuvre",Lignes_1[[#This Row],[Quantité]]*Lignes_1[[#This Row],[Heures]],0))</f>
        <v>0</v>
      </c>
      <c r="O23" s="18">
        <f>IF(Lignes_1[[#This Row],[Rôle ou catégorie]]="","",IF(Lignes_1[[#This Row],[Type]]="Main-d’œuvre",Lignes_1[[#This Row],[Quantité]]*Lignes_1[[#This Row],[Heures]]*Lignes_1[[#This Row],[Taux horaire]],0))</f>
        <v>0</v>
      </c>
      <c r="P23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3" s="18">
        <f>IF(Lignes_1[[#This Row],[Rôle ou catégorie]]="","",Lignes_1[[#This Row],[Main-d’œuvre]]+Lignes_1[[#This Row],[Débours]])</f>
        <v>0</v>
      </c>
      <c r="R23" s="18"/>
      <c r="T23" s="16">
        <f>IF(Lignes_1[[#This Row],[Rôle ou catégorie]]="","",IFERROR(INDEX(Referentiel[[Type de nature]],MATCH(Lignes_1[[#This Row],[Rôle ou catégorie]],Referentiel[[Entrée]],0)),"?"))</f>
        <v>0</v>
      </c>
    </row>
    <row r="24" spans="1:20">
      <c r="A24" s="15"/>
      <c r="B24" s="16">
        <f>IF(Lignes_1[[#This Row],[Tâche]]="","",IFERROR(INDEX(Taches[[Description]],MATCH(Lignes_1[[#This Row],[Tâche]],Taches[[Entrée]],0)),""))</f>
        <v>0</v>
      </c>
      <c r="C24" s="15"/>
      <c r="D24" s="15"/>
      <c r="I24" s="15"/>
      <c r="J24" s="16">
        <f>IF(Lignes_1[[#This Row],[Rôle ou catégorie]]="","",IFERROR(INDEX(Referentiel[[Nature]],MATCH(Lignes_1[[#This Row],[Rôle ou catégorie]],Referentiel[[Entrée]],0)),"?"))</f>
        <v>0</v>
      </c>
      <c r="K24" s="16">
        <f>IF(Lignes_1[[#This Row],[Rôle ou catégorie]]="","",IFERROR(INDEX(Referentiel[[Code comptable]],MATCH(Lignes_1[[#This Row],[Rôle ou catégorie]],Referentiel[[Entrée]],0)),"?"))</f>
        <v>0</v>
      </c>
      <c r="L24" s="16">
        <f>IF(Lignes_1[[#This Row],[Rôle ou catégorie]]="","",IFERROR(INDEX(Referentiel[[Service]],MATCH(Lignes_1[[#This Row],[Rôle ou catégorie]],Referentiel[[Entrée]],0)),"?")&amp;"")</f>
        <v>0</v>
      </c>
      <c r="M24" s="16">
        <f>IF(Lignes_1[[#This Row],[Rôle ou catégorie]]="","",IFERROR(INDEX(Referentiel[[Taux horaire]],MATCH(Lignes_1[[#This Row],[Rôle ou catégorie]],Referentiel[[Entrée]],0)),"?"))</f>
        <v>0</v>
      </c>
      <c r="N24" s="17">
        <f>IF(Lignes_1[[#This Row],[Rôle ou catégorie]]="","",IF(Lignes_1[[#This Row],[Type]]="Main-d’œuvre",Lignes_1[[#This Row],[Quantité]]*Lignes_1[[#This Row],[Heures]],0))</f>
        <v>0</v>
      </c>
      <c r="O24" s="18">
        <f>IF(Lignes_1[[#This Row],[Rôle ou catégorie]]="","",IF(Lignes_1[[#This Row],[Type]]="Main-d’œuvre",Lignes_1[[#This Row],[Quantité]]*Lignes_1[[#This Row],[Heures]]*Lignes_1[[#This Row],[Taux horaire]],0))</f>
        <v>0</v>
      </c>
      <c r="P24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4" s="18">
        <f>IF(Lignes_1[[#This Row],[Rôle ou catégorie]]="","",Lignes_1[[#This Row],[Main-d’œuvre]]+Lignes_1[[#This Row],[Débours]])</f>
        <v>0</v>
      </c>
      <c r="R24" s="18"/>
      <c r="T24" s="16">
        <f>IF(Lignes_1[[#This Row],[Rôle ou catégorie]]="","",IFERROR(INDEX(Referentiel[[Type de nature]],MATCH(Lignes_1[[#This Row],[Rôle ou catégorie]],Referentiel[[Entrée]],0)),"?"))</f>
        <v>0</v>
      </c>
    </row>
    <row r="25" spans="1:20">
      <c r="A25" s="15"/>
      <c r="B25" s="16">
        <f>IF(Lignes_1[[#This Row],[Tâche]]="","",IFERROR(INDEX(Taches[[Description]],MATCH(Lignes_1[[#This Row],[Tâche]],Taches[[Entrée]],0)),""))</f>
        <v>0</v>
      </c>
      <c r="C25" s="15"/>
      <c r="D25" s="15"/>
      <c r="I25" s="15"/>
      <c r="J25" s="16">
        <f>IF(Lignes_1[[#This Row],[Rôle ou catégorie]]="","",IFERROR(INDEX(Referentiel[[Nature]],MATCH(Lignes_1[[#This Row],[Rôle ou catégorie]],Referentiel[[Entrée]],0)),"?"))</f>
        <v>0</v>
      </c>
      <c r="K25" s="16">
        <f>IF(Lignes_1[[#This Row],[Rôle ou catégorie]]="","",IFERROR(INDEX(Referentiel[[Code comptable]],MATCH(Lignes_1[[#This Row],[Rôle ou catégorie]],Referentiel[[Entrée]],0)),"?"))</f>
        <v>0</v>
      </c>
      <c r="L25" s="16">
        <f>IF(Lignes_1[[#This Row],[Rôle ou catégorie]]="","",IFERROR(INDEX(Referentiel[[Service]],MATCH(Lignes_1[[#This Row],[Rôle ou catégorie]],Referentiel[[Entrée]],0)),"?")&amp;"")</f>
        <v>0</v>
      </c>
      <c r="M25" s="16">
        <f>IF(Lignes_1[[#This Row],[Rôle ou catégorie]]="","",IFERROR(INDEX(Referentiel[[Taux horaire]],MATCH(Lignes_1[[#This Row],[Rôle ou catégorie]],Referentiel[[Entrée]],0)),"?"))</f>
        <v>0</v>
      </c>
      <c r="N25" s="17">
        <f>IF(Lignes_1[[#This Row],[Rôle ou catégorie]]="","",IF(Lignes_1[[#This Row],[Type]]="Main-d’œuvre",Lignes_1[[#This Row],[Quantité]]*Lignes_1[[#This Row],[Heures]],0))</f>
        <v>0</v>
      </c>
      <c r="O25" s="18">
        <f>IF(Lignes_1[[#This Row],[Rôle ou catégorie]]="","",IF(Lignes_1[[#This Row],[Type]]="Main-d’œuvre",Lignes_1[[#This Row],[Quantité]]*Lignes_1[[#This Row],[Heures]]*Lignes_1[[#This Row],[Taux horaire]],0))</f>
        <v>0</v>
      </c>
      <c r="P25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5" s="18">
        <f>IF(Lignes_1[[#This Row],[Rôle ou catégorie]]="","",Lignes_1[[#This Row],[Main-d’œuvre]]+Lignes_1[[#This Row],[Débours]])</f>
        <v>0</v>
      </c>
      <c r="R25" s="18"/>
      <c r="T25" s="16">
        <f>IF(Lignes_1[[#This Row],[Rôle ou catégorie]]="","",IFERROR(INDEX(Referentiel[[Type de nature]],MATCH(Lignes_1[[#This Row],[Rôle ou catégorie]],Referentiel[[Entrée]],0)),"?"))</f>
        <v>0</v>
      </c>
    </row>
    <row r="26" spans="1:20">
      <c r="A26" s="15"/>
      <c r="B26" s="16">
        <f>IF(Lignes_1[[#This Row],[Tâche]]="","",IFERROR(INDEX(Taches[[Description]],MATCH(Lignes_1[[#This Row],[Tâche]],Taches[[Entrée]],0)),""))</f>
        <v>0</v>
      </c>
      <c r="C26" s="15"/>
      <c r="D26" s="15"/>
      <c r="I26" s="15"/>
      <c r="J26" s="16">
        <f>IF(Lignes_1[[#This Row],[Rôle ou catégorie]]="","",IFERROR(INDEX(Referentiel[[Nature]],MATCH(Lignes_1[[#This Row],[Rôle ou catégorie]],Referentiel[[Entrée]],0)),"?"))</f>
        <v>0</v>
      </c>
      <c r="K26" s="16">
        <f>IF(Lignes_1[[#This Row],[Rôle ou catégorie]]="","",IFERROR(INDEX(Referentiel[[Code comptable]],MATCH(Lignes_1[[#This Row],[Rôle ou catégorie]],Referentiel[[Entrée]],0)),"?"))</f>
        <v>0</v>
      </c>
      <c r="L26" s="16">
        <f>IF(Lignes_1[[#This Row],[Rôle ou catégorie]]="","",IFERROR(INDEX(Referentiel[[Service]],MATCH(Lignes_1[[#This Row],[Rôle ou catégorie]],Referentiel[[Entrée]],0)),"?")&amp;"")</f>
        <v>0</v>
      </c>
      <c r="M26" s="16">
        <f>IF(Lignes_1[[#This Row],[Rôle ou catégorie]]="","",IFERROR(INDEX(Referentiel[[Taux horaire]],MATCH(Lignes_1[[#This Row],[Rôle ou catégorie]],Referentiel[[Entrée]],0)),"?"))</f>
        <v>0</v>
      </c>
      <c r="N26" s="17">
        <f>IF(Lignes_1[[#This Row],[Rôle ou catégorie]]="","",IF(Lignes_1[[#This Row],[Type]]="Main-d’œuvre",Lignes_1[[#This Row],[Quantité]]*Lignes_1[[#This Row],[Heures]],0))</f>
        <v>0</v>
      </c>
      <c r="O26" s="18">
        <f>IF(Lignes_1[[#This Row],[Rôle ou catégorie]]="","",IF(Lignes_1[[#This Row],[Type]]="Main-d’œuvre",Lignes_1[[#This Row],[Quantité]]*Lignes_1[[#This Row],[Heures]]*Lignes_1[[#This Row],[Taux horaire]],0))</f>
        <v>0</v>
      </c>
      <c r="P26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6" s="18">
        <f>IF(Lignes_1[[#This Row],[Rôle ou catégorie]]="","",Lignes_1[[#This Row],[Main-d’œuvre]]+Lignes_1[[#This Row],[Débours]])</f>
        <v>0</v>
      </c>
      <c r="R26" s="18"/>
      <c r="T26" s="16">
        <f>IF(Lignes_1[[#This Row],[Rôle ou catégorie]]="","",IFERROR(INDEX(Referentiel[[Type de nature]],MATCH(Lignes_1[[#This Row],[Rôle ou catégorie]],Referentiel[[Entrée]],0)),"?"))</f>
        <v>0</v>
      </c>
    </row>
    <row r="27" spans="1:20">
      <c r="A27" s="15"/>
      <c r="B27" s="16">
        <f>IF(Lignes_1[[#This Row],[Tâche]]="","",IFERROR(INDEX(Taches[[Description]],MATCH(Lignes_1[[#This Row],[Tâche]],Taches[[Entrée]],0)),""))</f>
        <v>0</v>
      </c>
      <c r="C27" s="15"/>
      <c r="D27" s="15"/>
      <c r="I27" s="15"/>
      <c r="J27" s="16">
        <f>IF(Lignes_1[[#This Row],[Rôle ou catégorie]]="","",IFERROR(INDEX(Referentiel[[Nature]],MATCH(Lignes_1[[#This Row],[Rôle ou catégorie]],Referentiel[[Entrée]],0)),"?"))</f>
        <v>0</v>
      </c>
      <c r="K27" s="16">
        <f>IF(Lignes_1[[#This Row],[Rôle ou catégorie]]="","",IFERROR(INDEX(Referentiel[[Code comptable]],MATCH(Lignes_1[[#This Row],[Rôle ou catégorie]],Referentiel[[Entrée]],0)),"?"))</f>
        <v>0</v>
      </c>
      <c r="L27" s="16">
        <f>IF(Lignes_1[[#This Row],[Rôle ou catégorie]]="","",IFERROR(INDEX(Referentiel[[Service]],MATCH(Lignes_1[[#This Row],[Rôle ou catégorie]],Referentiel[[Entrée]],0)),"?")&amp;"")</f>
        <v>0</v>
      </c>
      <c r="M27" s="16">
        <f>IF(Lignes_1[[#This Row],[Rôle ou catégorie]]="","",IFERROR(INDEX(Referentiel[[Taux horaire]],MATCH(Lignes_1[[#This Row],[Rôle ou catégorie]],Referentiel[[Entrée]],0)),"?"))</f>
        <v>0</v>
      </c>
      <c r="N27" s="17">
        <f>IF(Lignes_1[[#This Row],[Rôle ou catégorie]]="","",IF(Lignes_1[[#This Row],[Type]]="Main-d’œuvre",Lignes_1[[#This Row],[Quantité]]*Lignes_1[[#This Row],[Heures]],0))</f>
        <v>0</v>
      </c>
      <c r="O27" s="18">
        <f>IF(Lignes_1[[#This Row],[Rôle ou catégorie]]="","",IF(Lignes_1[[#This Row],[Type]]="Main-d’œuvre",Lignes_1[[#This Row],[Quantité]]*Lignes_1[[#This Row],[Heures]]*Lignes_1[[#This Row],[Taux horaire]],0))</f>
        <v>0</v>
      </c>
      <c r="P27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7" s="18">
        <f>IF(Lignes_1[[#This Row],[Rôle ou catégorie]]="","",Lignes_1[[#This Row],[Main-d’œuvre]]+Lignes_1[[#This Row],[Débours]])</f>
        <v>0</v>
      </c>
      <c r="R27" s="18"/>
      <c r="T27" s="16">
        <f>IF(Lignes_1[[#This Row],[Rôle ou catégorie]]="","",IFERROR(INDEX(Referentiel[[Type de nature]],MATCH(Lignes_1[[#This Row],[Rôle ou catégorie]],Referentiel[[Entrée]],0)),"?"))</f>
        <v>0</v>
      </c>
    </row>
    <row r="28" spans="1:20">
      <c r="A28" s="15"/>
      <c r="B28" s="16">
        <f>IF(Lignes_1[[#This Row],[Tâche]]="","",IFERROR(INDEX(Taches[[Description]],MATCH(Lignes_1[[#This Row],[Tâche]],Taches[[Entrée]],0)),""))</f>
        <v>0</v>
      </c>
      <c r="C28" s="15"/>
      <c r="D28" s="15"/>
      <c r="I28" s="15"/>
      <c r="J28" s="16">
        <f>IF(Lignes_1[[#This Row],[Rôle ou catégorie]]="","",IFERROR(INDEX(Referentiel[[Nature]],MATCH(Lignes_1[[#This Row],[Rôle ou catégorie]],Referentiel[[Entrée]],0)),"?"))</f>
        <v>0</v>
      </c>
      <c r="K28" s="16">
        <f>IF(Lignes_1[[#This Row],[Rôle ou catégorie]]="","",IFERROR(INDEX(Referentiel[[Code comptable]],MATCH(Lignes_1[[#This Row],[Rôle ou catégorie]],Referentiel[[Entrée]],0)),"?"))</f>
        <v>0</v>
      </c>
      <c r="L28" s="16">
        <f>IF(Lignes_1[[#This Row],[Rôle ou catégorie]]="","",IFERROR(INDEX(Referentiel[[Service]],MATCH(Lignes_1[[#This Row],[Rôle ou catégorie]],Referentiel[[Entrée]],0)),"?")&amp;"")</f>
        <v>0</v>
      </c>
      <c r="M28" s="16">
        <f>IF(Lignes_1[[#This Row],[Rôle ou catégorie]]="","",IFERROR(INDEX(Referentiel[[Taux horaire]],MATCH(Lignes_1[[#This Row],[Rôle ou catégorie]],Referentiel[[Entrée]],0)),"?"))</f>
        <v>0</v>
      </c>
      <c r="N28" s="17">
        <f>IF(Lignes_1[[#This Row],[Rôle ou catégorie]]="","",IF(Lignes_1[[#This Row],[Type]]="Main-d’œuvre",Lignes_1[[#This Row],[Quantité]]*Lignes_1[[#This Row],[Heures]],0))</f>
        <v>0</v>
      </c>
      <c r="O28" s="18">
        <f>IF(Lignes_1[[#This Row],[Rôle ou catégorie]]="","",IF(Lignes_1[[#This Row],[Type]]="Main-d’œuvre",Lignes_1[[#This Row],[Quantité]]*Lignes_1[[#This Row],[Heures]]*Lignes_1[[#This Row],[Taux horaire]],0))</f>
        <v>0</v>
      </c>
      <c r="P28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8" s="18">
        <f>IF(Lignes_1[[#This Row],[Rôle ou catégorie]]="","",Lignes_1[[#This Row],[Main-d’œuvre]]+Lignes_1[[#This Row],[Débours]])</f>
        <v>0</v>
      </c>
      <c r="R28" s="18"/>
      <c r="T28" s="16">
        <f>IF(Lignes_1[[#This Row],[Rôle ou catégorie]]="","",IFERROR(INDEX(Referentiel[[Type de nature]],MATCH(Lignes_1[[#This Row],[Rôle ou catégorie]],Referentiel[[Entrée]],0)),"?"))</f>
        <v>0</v>
      </c>
    </row>
    <row r="29" spans="1:20">
      <c r="A29" s="15"/>
      <c r="B29" s="16">
        <f>IF(Lignes_1[[#This Row],[Tâche]]="","",IFERROR(INDEX(Taches[[Description]],MATCH(Lignes_1[[#This Row],[Tâche]],Taches[[Entrée]],0)),""))</f>
        <v>0</v>
      </c>
      <c r="C29" s="15"/>
      <c r="D29" s="15"/>
      <c r="I29" s="15"/>
      <c r="J29" s="16">
        <f>IF(Lignes_1[[#This Row],[Rôle ou catégorie]]="","",IFERROR(INDEX(Referentiel[[Nature]],MATCH(Lignes_1[[#This Row],[Rôle ou catégorie]],Referentiel[[Entrée]],0)),"?"))</f>
        <v>0</v>
      </c>
      <c r="K29" s="16">
        <f>IF(Lignes_1[[#This Row],[Rôle ou catégorie]]="","",IFERROR(INDEX(Referentiel[[Code comptable]],MATCH(Lignes_1[[#This Row],[Rôle ou catégorie]],Referentiel[[Entrée]],0)),"?"))</f>
        <v>0</v>
      </c>
      <c r="L29" s="16">
        <f>IF(Lignes_1[[#This Row],[Rôle ou catégorie]]="","",IFERROR(INDEX(Referentiel[[Service]],MATCH(Lignes_1[[#This Row],[Rôle ou catégorie]],Referentiel[[Entrée]],0)),"?")&amp;"")</f>
        <v>0</v>
      </c>
      <c r="M29" s="16">
        <f>IF(Lignes_1[[#This Row],[Rôle ou catégorie]]="","",IFERROR(INDEX(Referentiel[[Taux horaire]],MATCH(Lignes_1[[#This Row],[Rôle ou catégorie]],Referentiel[[Entrée]],0)),"?"))</f>
        <v>0</v>
      </c>
      <c r="N29" s="17">
        <f>IF(Lignes_1[[#This Row],[Rôle ou catégorie]]="","",IF(Lignes_1[[#This Row],[Type]]="Main-d’œuvre",Lignes_1[[#This Row],[Quantité]]*Lignes_1[[#This Row],[Heures]],0))</f>
        <v>0</v>
      </c>
      <c r="O29" s="18">
        <f>IF(Lignes_1[[#This Row],[Rôle ou catégorie]]="","",IF(Lignes_1[[#This Row],[Type]]="Main-d’œuvre",Lignes_1[[#This Row],[Quantité]]*Lignes_1[[#This Row],[Heures]]*Lignes_1[[#This Row],[Taux horaire]],0))</f>
        <v>0</v>
      </c>
      <c r="P29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29" s="18">
        <f>IF(Lignes_1[[#This Row],[Rôle ou catégorie]]="","",Lignes_1[[#This Row],[Main-d’œuvre]]+Lignes_1[[#This Row],[Débours]])</f>
        <v>0</v>
      </c>
      <c r="R29" s="18"/>
      <c r="T29" s="16">
        <f>IF(Lignes_1[[#This Row],[Rôle ou catégorie]]="","",IFERROR(INDEX(Referentiel[[Type de nature]],MATCH(Lignes_1[[#This Row],[Rôle ou catégorie]],Referentiel[[Entrée]],0)),"?"))</f>
        <v>0</v>
      </c>
    </row>
    <row r="30" spans="1:20">
      <c r="A30" s="15"/>
      <c r="B30" s="16">
        <f>IF(Lignes_1[[#This Row],[Tâche]]="","",IFERROR(INDEX(Taches[[Description]],MATCH(Lignes_1[[#This Row],[Tâche]],Taches[[Entrée]],0)),""))</f>
        <v>0</v>
      </c>
      <c r="C30" s="15"/>
      <c r="D30" s="15"/>
      <c r="I30" s="15"/>
      <c r="J30" s="16">
        <f>IF(Lignes_1[[#This Row],[Rôle ou catégorie]]="","",IFERROR(INDEX(Referentiel[[Nature]],MATCH(Lignes_1[[#This Row],[Rôle ou catégorie]],Referentiel[[Entrée]],0)),"?"))</f>
        <v>0</v>
      </c>
      <c r="K30" s="16">
        <f>IF(Lignes_1[[#This Row],[Rôle ou catégorie]]="","",IFERROR(INDEX(Referentiel[[Code comptable]],MATCH(Lignes_1[[#This Row],[Rôle ou catégorie]],Referentiel[[Entrée]],0)),"?"))</f>
        <v>0</v>
      </c>
      <c r="L30" s="16">
        <f>IF(Lignes_1[[#This Row],[Rôle ou catégorie]]="","",IFERROR(INDEX(Referentiel[[Service]],MATCH(Lignes_1[[#This Row],[Rôle ou catégorie]],Referentiel[[Entrée]],0)),"?")&amp;"")</f>
        <v>0</v>
      </c>
      <c r="M30" s="16">
        <f>IF(Lignes_1[[#This Row],[Rôle ou catégorie]]="","",IFERROR(INDEX(Referentiel[[Taux horaire]],MATCH(Lignes_1[[#This Row],[Rôle ou catégorie]],Referentiel[[Entrée]],0)),"?"))</f>
        <v>0</v>
      </c>
      <c r="N30" s="17">
        <f>IF(Lignes_1[[#This Row],[Rôle ou catégorie]]="","",IF(Lignes_1[[#This Row],[Type]]="Main-d’œuvre",Lignes_1[[#This Row],[Quantité]]*Lignes_1[[#This Row],[Heures]],0))</f>
        <v>0</v>
      </c>
      <c r="O30" s="18">
        <f>IF(Lignes_1[[#This Row],[Rôle ou catégorie]]="","",IF(Lignes_1[[#This Row],[Type]]="Main-d’œuvre",Lignes_1[[#This Row],[Quantité]]*Lignes_1[[#This Row],[Heures]]*Lignes_1[[#This Row],[Taux horaire]],0))</f>
        <v>0</v>
      </c>
      <c r="P30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30" s="18">
        <f>IF(Lignes_1[[#This Row],[Rôle ou catégorie]]="","",Lignes_1[[#This Row],[Main-d’œuvre]]+Lignes_1[[#This Row],[Débours]])</f>
        <v>0</v>
      </c>
      <c r="R30" s="18"/>
      <c r="T30" s="16">
        <f>IF(Lignes_1[[#This Row],[Rôle ou catégorie]]="","",IFERROR(INDEX(Referentiel[[Type de nature]],MATCH(Lignes_1[[#This Row],[Rôle ou catégorie]],Referentiel[[Entrée]],0)),"?"))</f>
        <v>0</v>
      </c>
    </row>
    <row r="31" spans="1:20">
      <c r="A31" s="15"/>
      <c r="B31" s="16">
        <f>IF(Lignes_1[[#This Row],[Tâche]]="","",IFERROR(INDEX(Taches[[Description]],MATCH(Lignes_1[[#This Row],[Tâche]],Taches[[Entrée]],0)),""))</f>
        <v>0</v>
      </c>
      <c r="C31" s="15"/>
      <c r="D31" s="15"/>
      <c r="I31" s="15"/>
      <c r="J31" s="16">
        <f>IF(Lignes_1[[#This Row],[Rôle ou catégorie]]="","",IFERROR(INDEX(Referentiel[[Nature]],MATCH(Lignes_1[[#This Row],[Rôle ou catégorie]],Referentiel[[Entrée]],0)),"?"))</f>
        <v>0</v>
      </c>
      <c r="K31" s="16">
        <f>IF(Lignes_1[[#This Row],[Rôle ou catégorie]]="","",IFERROR(INDEX(Referentiel[[Code comptable]],MATCH(Lignes_1[[#This Row],[Rôle ou catégorie]],Referentiel[[Entrée]],0)),"?"))</f>
        <v>0</v>
      </c>
      <c r="L31" s="16">
        <f>IF(Lignes_1[[#This Row],[Rôle ou catégorie]]="","",IFERROR(INDEX(Referentiel[[Service]],MATCH(Lignes_1[[#This Row],[Rôle ou catégorie]],Referentiel[[Entrée]],0)),"?")&amp;"")</f>
        <v>0</v>
      </c>
      <c r="M31" s="16">
        <f>IF(Lignes_1[[#This Row],[Rôle ou catégorie]]="","",IFERROR(INDEX(Referentiel[[Taux horaire]],MATCH(Lignes_1[[#This Row],[Rôle ou catégorie]],Referentiel[[Entrée]],0)),"?"))</f>
        <v>0</v>
      </c>
      <c r="N31" s="17">
        <f>IF(Lignes_1[[#This Row],[Rôle ou catégorie]]="","",IF(Lignes_1[[#This Row],[Type]]="Main-d’œuvre",Lignes_1[[#This Row],[Quantité]]*Lignes_1[[#This Row],[Heures]],0))</f>
        <v>0</v>
      </c>
      <c r="O31" s="18">
        <f>IF(Lignes_1[[#This Row],[Rôle ou catégorie]]="","",IF(Lignes_1[[#This Row],[Type]]="Main-d’œuvre",Lignes_1[[#This Row],[Quantité]]*Lignes_1[[#This Row],[Heures]]*Lignes_1[[#This Row],[Taux horaire]],0))</f>
        <v>0</v>
      </c>
      <c r="P31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31" s="18">
        <f>IF(Lignes_1[[#This Row],[Rôle ou catégorie]]="","",Lignes_1[[#This Row],[Main-d’œuvre]]+Lignes_1[[#This Row],[Débours]])</f>
        <v>0</v>
      </c>
      <c r="R31" s="18"/>
      <c r="T31" s="16">
        <f>IF(Lignes_1[[#This Row],[Rôle ou catégorie]]="","",IFERROR(INDEX(Referentiel[[Type de nature]],MATCH(Lignes_1[[#This Row],[Rôle ou catégorie]],Referentiel[[Entrée]],0)),"?"))</f>
        <v>0</v>
      </c>
    </row>
    <row r="32" spans="1:20">
      <c r="A32" s="15"/>
      <c r="B32" s="16">
        <f>IF(Lignes_1[[#This Row],[Tâche]]="","",IFERROR(INDEX(Taches[[Description]],MATCH(Lignes_1[[#This Row],[Tâche]],Taches[[Entrée]],0)),""))</f>
        <v>0</v>
      </c>
      <c r="C32" s="15"/>
      <c r="D32" s="15"/>
      <c r="I32" s="15"/>
      <c r="J32" s="16">
        <f>IF(Lignes_1[[#This Row],[Rôle ou catégorie]]="","",IFERROR(INDEX(Referentiel[[Nature]],MATCH(Lignes_1[[#This Row],[Rôle ou catégorie]],Referentiel[[Entrée]],0)),"?"))</f>
        <v>0</v>
      </c>
      <c r="K32" s="16">
        <f>IF(Lignes_1[[#This Row],[Rôle ou catégorie]]="","",IFERROR(INDEX(Referentiel[[Code comptable]],MATCH(Lignes_1[[#This Row],[Rôle ou catégorie]],Referentiel[[Entrée]],0)),"?"))</f>
        <v>0</v>
      </c>
      <c r="L32" s="16">
        <f>IF(Lignes_1[[#This Row],[Rôle ou catégorie]]="","",IFERROR(INDEX(Referentiel[[Service]],MATCH(Lignes_1[[#This Row],[Rôle ou catégorie]],Referentiel[[Entrée]],0)),"?")&amp;"")</f>
        <v>0</v>
      </c>
      <c r="M32" s="16">
        <f>IF(Lignes_1[[#This Row],[Rôle ou catégorie]]="","",IFERROR(INDEX(Referentiel[[Taux horaire]],MATCH(Lignes_1[[#This Row],[Rôle ou catégorie]],Referentiel[[Entrée]],0)),"?"))</f>
        <v>0</v>
      </c>
      <c r="N32" s="17">
        <f>IF(Lignes_1[[#This Row],[Rôle ou catégorie]]="","",IF(Lignes_1[[#This Row],[Type]]="Main-d’œuvre",Lignes_1[[#This Row],[Quantité]]*Lignes_1[[#This Row],[Heures]],0))</f>
        <v>0</v>
      </c>
      <c r="O32" s="18">
        <f>IF(Lignes_1[[#This Row],[Rôle ou catégorie]]="","",IF(Lignes_1[[#This Row],[Type]]="Main-d’œuvre",Lignes_1[[#This Row],[Quantité]]*Lignes_1[[#This Row],[Heures]]*Lignes_1[[#This Row],[Taux horaire]],0))</f>
        <v>0</v>
      </c>
      <c r="P32" s="18">
        <f>IF(Lignes_1[[#This Row],[Rôle ou catégorie]]="","",IF(OR(Lignes_1[[#This Row],[Type]]="Hors main-d’œuvre",Lignes_1[[#This Row],[Type]]="Provision"),Lignes_1[[#This Row],[Quantité]]*Lignes_1[[#This Row],[Débours unitaire]],0))</f>
        <v>0</v>
      </c>
      <c r="Q32" s="18">
        <f>IF(Lignes_1[[#This Row],[Rôle ou catégorie]]="","",Lignes_1[[#This Row],[Main-d’œuvre]]+Lignes_1[[#This Row],[Débours]])</f>
        <v>0</v>
      </c>
      <c r="R32" s="18"/>
      <c r="T32" s="16">
        <f>IF(Lignes_1[[#This Row],[Rôle ou catégorie]]="","",IFERROR(INDEX(Referentiel[[Type de nature]],MATCH(Lignes_1[[#This Row],[Rôle ou catégorie]],Referentiel[[Entrée]],0)),"?"))</f>
        <v>0</v>
      </c>
    </row>
    <row r="33" spans="1:18">
      <c r="A33" s="15" t="s">
        <v>140</v>
      </c>
      <c r="N33" s="17">
        <f>SUBTOTAL(109,Lignes_1[[Heures totales]])</f>
        <v>0</v>
      </c>
      <c r="O33" s="18">
        <f>SUBTOTAL(109,Lignes_1[[Main-d’œuvre]])</f>
        <v>0</v>
      </c>
      <c r="P33" s="18">
        <f>SUBTOTAL(109,Lignes_1[[Débours]])</f>
        <v>0</v>
      </c>
      <c r="Q33" s="18">
        <f>SUBTOTAL(109,Lignes_1[[Montant]])</f>
        <v>0</v>
      </c>
      <c r="R33" s="18">
        <f>SUBTOTAL(109,Lignes_1[[Montant Waterfall]])</f>
        <v>0</v>
      </c>
    </row>
  </sheetData>
  <dataValidations count="3">
    <dataValidation type="list" allowBlank="1" showInputMessage="1" showErrorMessage="1" errorTitle="Tâche" error="Choisis une tâche de cet onglet (onglet Tâches)." sqref="A2:A1001">
      <formula1>'Tâches'!$A$12:$A$13</formula1>
    </dataValidation>
    <dataValidation type="list" allowBlank="1" showInputMessage="1" showErrorMessage="1" errorTitle="Rôle ou catégorie" error="Choisis un rôle ou une catégorie du référentiel." sqref="C2:C1001">
      <formula1>'Paramètres'!$A$5:$A$13</formula1>
    </dataValidation>
    <dataValidation type="list" allowBlank="1" showInputMessage="1" showErrorMessage="1" sqref="I2:I1001">
      <formula1>'Paramètres'!$K$5:$K$6</formula1>
    </dataValidation>
  </dataValidations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T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outlineLevelCol="1"/>
  <cols>
    <col min="1" max="3" width="34.7109375" customWidth="1"/>
    <col min="4" max="4" width="30.7109375" customWidth="1"/>
    <col min="5" max="5" width="10.7109375" customWidth="1"/>
    <col min="6" max="6" width="9.7109375" customWidth="1"/>
    <col min="7" max="7" width="12.7109375" customWidth="1"/>
    <col min="8" max="8" width="11.7109375" customWidth="1"/>
    <col min="9" max="9" width="12.7109375" customWidth="1"/>
    <col min="10" max="10" width="18.7109375" customWidth="1"/>
    <col min="11" max="11" width="11.7109375" customWidth="1"/>
    <col min="12" max="12" width="22.7109375" customWidth="1"/>
    <col min="13" max="13" width="9.7109375" customWidth="1"/>
    <col min="14" max="14" width="10.7109375" customWidth="1"/>
    <col min="15" max="17" width="13.7109375" customWidth="1"/>
    <col min="18" max="18" width="14.7109375" customWidth="1"/>
    <col min="19" max="19" width="10.7109375" hidden="1" customWidth="1" outlineLevel="1"/>
    <col min="20" max="20" width="14.7109375" hidden="1" customWidth="1" outlineLevel="1"/>
  </cols>
  <sheetData>
    <row r="1" spans="1:20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7</v>
      </c>
      <c r="K1" t="s">
        <v>9</v>
      </c>
      <c r="L1" t="s">
        <v>6</v>
      </c>
      <c r="M1" t="s">
        <v>10</v>
      </c>
      <c r="N1" t="s">
        <v>150</v>
      </c>
      <c r="O1" t="s">
        <v>16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</row>
    <row r="2" spans="1:20">
      <c r="A2" s="15" t="s">
        <v>128</v>
      </c>
      <c r="B2" s="16">
        <f>IF(Lignes_2_1[[#This Row],[Tâche]]="","",IFERROR(INDEX(Taches[[Description]],MATCH(Lignes_2_1[[#This Row],[Tâche]],Taches[[Entrée]],0)),""))</f>
        <v>0</v>
      </c>
      <c r="C2" s="15" t="s">
        <v>18</v>
      </c>
      <c r="D2" s="15"/>
      <c r="E2">
        <v>10</v>
      </c>
      <c r="F2">
        <v>7.4</v>
      </c>
      <c r="H2">
        <v>0</v>
      </c>
      <c r="I2" s="15" t="s">
        <v>57</v>
      </c>
      <c r="J2" s="16">
        <f>IF(Lignes_2_1[[#This Row],[Rôle ou catégorie]]="","",IFERROR(INDEX(Referentiel[[Nature]],MATCH(Lignes_2_1[[#This Row],[Rôle ou catégorie]],Referentiel[[Entrée]],0)),"?"))</f>
        <v>0</v>
      </c>
      <c r="K2" s="16">
        <f>IF(Lignes_2_1[[#This Row],[Rôle ou catégorie]]="","",IFERROR(INDEX(Referentiel[[Code comptable]],MATCH(Lignes_2_1[[#This Row],[Rôle ou catégorie]],Referentiel[[Entrée]],0)),"?"))</f>
        <v>0</v>
      </c>
      <c r="L2" s="16">
        <f>IF(Lignes_2_1[[#This Row],[Rôle ou catégorie]]="","",IFERROR(INDEX(Referentiel[[Service]],MATCH(Lignes_2_1[[#This Row],[Rôle ou catégorie]],Referentiel[[Entrée]],0)),"?")&amp;"")</f>
        <v>0</v>
      </c>
      <c r="M2" s="16">
        <f>IF(Lignes_2_1[[#This Row],[Rôle ou catégorie]]="","",IFERROR(INDEX(Referentiel[[Taux horaire]],MATCH(Lignes_2_1[[#This Row],[Rôle ou catégorie]],Referentiel[[Entrée]],0)),"?"))</f>
        <v>0</v>
      </c>
      <c r="N2" s="17">
        <f>IF(Lignes_2_1[[#This Row],[Rôle ou catégorie]]="","",IF(Lignes_2_1[[#This Row],[Type]]="Main-d’œuvre",Lignes_2_1[[#This Row],[Quantité]]*Lignes_2_1[[#This Row],[Heures]],0))</f>
        <v>0</v>
      </c>
      <c r="O2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" s="18">
        <f>IF(Lignes_2_1[[#This Row],[Rôle ou catégorie]]="","",Lignes_2_1[[#This Row],[Main-d’œuvre]]+Lignes_2_1[[#This Row],[Débours]])</f>
        <v>0</v>
      </c>
      <c r="R2" s="18">
        <v>4528.8</v>
      </c>
      <c r="S2" t="s">
        <v>168</v>
      </c>
      <c r="T2" s="16">
        <f>IF(Lignes_2_1[[#This Row],[Rôle ou catégorie]]="","",IFERROR(INDEX(Referentiel[[Type de nature]],MATCH(Lignes_2_1[[#This Row],[Rôle ou catégorie]],Referentiel[[Entrée]],0)),"?"))</f>
        <v>0</v>
      </c>
    </row>
    <row r="3" spans="1:20">
      <c r="A3" s="15" t="s">
        <v>128</v>
      </c>
      <c r="B3" s="16">
        <f>IF(Lignes_2_1[[#This Row],[Tâche]]="","",IFERROR(INDEX(Taches[[Description]],MATCH(Lignes_2_1[[#This Row],[Tâche]],Taches[[Entrée]],0)),""))</f>
        <v>0</v>
      </c>
      <c r="C3" s="15" t="s">
        <v>34</v>
      </c>
      <c r="D3" s="15"/>
      <c r="E3">
        <v>10</v>
      </c>
      <c r="F3">
        <v>7.4</v>
      </c>
      <c r="H3">
        <v>0</v>
      </c>
      <c r="I3" s="15" t="s">
        <v>57</v>
      </c>
      <c r="J3" s="16">
        <f>IF(Lignes_2_1[[#This Row],[Rôle ou catégorie]]="","",IFERROR(INDEX(Referentiel[[Nature]],MATCH(Lignes_2_1[[#This Row],[Rôle ou catégorie]],Referentiel[[Entrée]],0)),"?"))</f>
        <v>0</v>
      </c>
      <c r="K3" s="16">
        <f>IF(Lignes_2_1[[#This Row],[Rôle ou catégorie]]="","",IFERROR(INDEX(Referentiel[[Code comptable]],MATCH(Lignes_2_1[[#This Row],[Rôle ou catégorie]],Referentiel[[Entrée]],0)),"?"))</f>
        <v>0</v>
      </c>
      <c r="L3" s="16">
        <f>IF(Lignes_2_1[[#This Row],[Rôle ou catégorie]]="","",IFERROR(INDEX(Referentiel[[Service]],MATCH(Lignes_2_1[[#This Row],[Rôle ou catégorie]],Referentiel[[Entrée]],0)),"?")&amp;"")</f>
        <v>0</v>
      </c>
      <c r="M3" s="16">
        <f>IF(Lignes_2_1[[#This Row],[Rôle ou catégorie]]="","",IFERROR(INDEX(Referentiel[[Taux horaire]],MATCH(Lignes_2_1[[#This Row],[Rôle ou catégorie]],Referentiel[[Entrée]],0)),"?"))</f>
        <v>0</v>
      </c>
      <c r="N3" s="17">
        <f>IF(Lignes_2_1[[#This Row],[Rôle ou catégorie]]="","",IF(Lignes_2_1[[#This Row],[Type]]="Main-d’œuvre",Lignes_2_1[[#This Row],[Quantité]]*Lignes_2_1[[#This Row],[Heures]],0))</f>
        <v>0</v>
      </c>
      <c r="O3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3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3" s="18">
        <f>IF(Lignes_2_1[[#This Row],[Rôle ou catégorie]]="","",Lignes_2_1[[#This Row],[Main-d’œuvre]]+Lignes_2_1[[#This Row],[Débours]])</f>
        <v>0</v>
      </c>
      <c r="R3" s="18">
        <v>4528.8</v>
      </c>
      <c r="S3" t="s">
        <v>169</v>
      </c>
      <c r="T3" s="16">
        <f>IF(Lignes_2_1[[#This Row],[Rôle ou catégorie]]="","",IFERROR(INDEX(Referentiel[[Type de nature]],MATCH(Lignes_2_1[[#This Row],[Rôle ou catégorie]],Referentiel[[Entrée]],0)),"?"))</f>
        <v>0</v>
      </c>
    </row>
    <row r="4" spans="1:20">
      <c r="A4" s="15"/>
      <c r="B4" s="16">
        <f>IF(Lignes_2_1[[#This Row],[Tâche]]="","",IFERROR(INDEX(Taches[[Description]],MATCH(Lignes_2_1[[#This Row],[Tâche]],Taches[[Entrée]],0)),""))</f>
        <v>0</v>
      </c>
      <c r="C4" s="15"/>
      <c r="D4" s="15"/>
      <c r="I4" s="15"/>
      <c r="J4" s="16">
        <f>IF(Lignes_2_1[[#This Row],[Rôle ou catégorie]]="","",IFERROR(INDEX(Referentiel[[Nature]],MATCH(Lignes_2_1[[#This Row],[Rôle ou catégorie]],Referentiel[[Entrée]],0)),"?"))</f>
        <v>0</v>
      </c>
      <c r="K4" s="16">
        <f>IF(Lignes_2_1[[#This Row],[Rôle ou catégorie]]="","",IFERROR(INDEX(Referentiel[[Code comptable]],MATCH(Lignes_2_1[[#This Row],[Rôle ou catégorie]],Referentiel[[Entrée]],0)),"?"))</f>
        <v>0</v>
      </c>
      <c r="L4" s="16">
        <f>IF(Lignes_2_1[[#This Row],[Rôle ou catégorie]]="","",IFERROR(INDEX(Referentiel[[Service]],MATCH(Lignes_2_1[[#This Row],[Rôle ou catégorie]],Referentiel[[Entrée]],0)),"?")&amp;"")</f>
        <v>0</v>
      </c>
      <c r="M4" s="16">
        <f>IF(Lignes_2_1[[#This Row],[Rôle ou catégorie]]="","",IFERROR(INDEX(Referentiel[[Taux horaire]],MATCH(Lignes_2_1[[#This Row],[Rôle ou catégorie]],Referentiel[[Entrée]],0)),"?"))</f>
        <v>0</v>
      </c>
      <c r="N4" s="17">
        <f>IF(Lignes_2_1[[#This Row],[Rôle ou catégorie]]="","",IF(Lignes_2_1[[#This Row],[Type]]="Main-d’œuvre",Lignes_2_1[[#This Row],[Quantité]]*Lignes_2_1[[#This Row],[Heures]],0))</f>
        <v>0</v>
      </c>
      <c r="O4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4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4" s="18">
        <f>IF(Lignes_2_1[[#This Row],[Rôle ou catégorie]]="","",Lignes_2_1[[#This Row],[Main-d’œuvre]]+Lignes_2_1[[#This Row],[Débours]])</f>
        <v>0</v>
      </c>
      <c r="R4" s="18"/>
      <c r="T4" s="16">
        <f>IF(Lignes_2_1[[#This Row],[Rôle ou catégorie]]="","",IFERROR(INDEX(Referentiel[[Type de nature]],MATCH(Lignes_2_1[[#This Row],[Rôle ou catégorie]],Referentiel[[Entrée]],0)),"?"))</f>
        <v>0</v>
      </c>
    </row>
    <row r="5" spans="1:20">
      <c r="A5" s="15"/>
      <c r="B5" s="16">
        <f>IF(Lignes_2_1[[#This Row],[Tâche]]="","",IFERROR(INDEX(Taches[[Description]],MATCH(Lignes_2_1[[#This Row],[Tâche]],Taches[[Entrée]],0)),""))</f>
        <v>0</v>
      </c>
      <c r="C5" s="15"/>
      <c r="D5" s="15"/>
      <c r="I5" s="15"/>
      <c r="J5" s="16">
        <f>IF(Lignes_2_1[[#This Row],[Rôle ou catégorie]]="","",IFERROR(INDEX(Referentiel[[Nature]],MATCH(Lignes_2_1[[#This Row],[Rôle ou catégorie]],Referentiel[[Entrée]],0)),"?"))</f>
        <v>0</v>
      </c>
      <c r="K5" s="16">
        <f>IF(Lignes_2_1[[#This Row],[Rôle ou catégorie]]="","",IFERROR(INDEX(Referentiel[[Code comptable]],MATCH(Lignes_2_1[[#This Row],[Rôle ou catégorie]],Referentiel[[Entrée]],0)),"?"))</f>
        <v>0</v>
      </c>
      <c r="L5" s="16">
        <f>IF(Lignes_2_1[[#This Row],[Rôle ou catégorie]]="","",IFERROR(INDEX(Referentiel[[Service]],MATCH(Lignes_2_1[[#This Row],[Rôle ou catégorie]],Referentiel[[Entrée]],0)),"?")&amp;"")</f>
        <v>0</v>
      </c>
      <c r="M5" s="16">
        <f>IF(Lignes_2_1[[#This Row],[Rôle ou catégorie]]="","",IFERROR(INDEX(Referentiel[[Taux horaire]],MATCH(Lignes_2_1[[#This Row],[Rôle ou catégorie]],Referentiel[[Entrée]],0)),"?"))</f>
        <v>0</v>
      </c>
      <c r="N5" s="17">
        <f>IF(Lignes_2_1[[#This Row],[Rôle ou catégorie]]="","",IF(Lignes_2_1[[#This Row],[Type]]="Main-d’œuvre",Lignes_2_1[[#This Row],[Quantité]]*Lignes_2_1[[#This Row],[Heures]],0))</f>
        <v>0</v>
      </c>
      <c r="O5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5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5" s="18">
        <f>IF(Lignes_2_1[[#This Row],[Rôle ou catégorie]]="","",Lignes_2_1[[#This Row],[Main-d’œuvre]]+Lignes_2_1[[#This Row],[Débours]])</f>
        <v>0</v>
      </c>
      <c r="R5" s="18"/>
      <c r="T5" s="16">
        <f>IF(Lignes_2_1[[#This Row],[Rôle ou catégorie]]="","",IFERROR(INDEX(Referentiel[[Type de nature]],MATCH(Lignes_2_1[[#This Row],[Rôle ou catégorie]],Referentiel[[Entrée]],0)),"?"))</f>
        <v>0</v>
      </c>
    </row>
    <row r="6" spans="1:20">
      <c r="A6" s="15"/>
      <c r="B6" s="16">
        <f>IF(Lignes_2_1[[#This Row],[Tâche]]="","",IFERROR(INDEX(Taches[[Description]],MATCH(Lignes_2_1[[#This Row],[Tâche]],Taches[[Entrée]],0)),""))</f>
        <v>0</v>
      </c>
      <c r="C6" s="15"/>
      <c r="D6" s="15"/>
      <c r="I6" s="15"/>
      <c r="J6" s="16">
        <f>IF(Lignes_2_1[[#This Row],[Rôle ou catégorie]]="","",IFERROR(INDEX(Referentiel[[Nature]],MATCH(Lignes_2_1[[#This Row],[Rôle ou catégorie]],Referentiel[[Entrée]],0)),"?"))</f>
        <v>0</v>
      </c>
      <c r="K6" s="16">
        <f>IF(Lignes_2_1[[#This Row],[Rôle ou catégorie]]="","",IFERROR(INDEX(Referentiel[[Code comptable]],MATCH(Lignes_2_1[[#This Row],[Rôle ou catégorie]],Referentiel[[Entrée]],0)),"?"))</f>
        <v>0</v>
      </c>
      <c r="L6" s="16">
        <f>IF(Lignes_2_1[[#This Row],[Rôle ou catégorie]]="","",IFERROR(INDEX(Referentiel[[Service]],MATCH(Lignes_2_1[[#This Row],[Rôle ou catégorie]],Referentiel[[Entrée]],0)),"?")&amp;"")</f>
        <v>0</v>
      </c>
      <c r="M6" s="16">
        <f>IF(Lignes_2_1[[#This Row],[Rôle ou catégorie]]="","",IFERROR(INDEX(Referentiel[[Taux horaire]],MATCH(Lignes_2_1[[#This Row],[Rôle ou catégorie]],Referentiel[[Entrée]],0)),"?"))</f>
        <v>0</v>
      </c>
      <c r="N6" s="17">
        <f>IF(Lignes_2_1[[#This Row],[Rôle ou catégorie]]="","",IF(Lignes_2_1[[#This Row],[Type]]="Main-d’œuvre",Lignes_2_1[[#This Row],[Quantité]]*Lignes_2_1[[#This Row],[Heures]],0))</f>
        <v>0</v>
      </c>
      <c r="O6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6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6" s="18">
        <f>IF(Lignes_2_1[[#This Row],[Rôle ou catégorie]]="","",Lignes_2_1[[#This Row],[Main-d’œuvre]]+Lignes_2_1[[#This Row],[Débours]])</f>
        <v>0</v>
      </c>
      <c r="R6" s="18"/>
      <c r="T6" s="16">
        <f>IF(Lignes_2_1[[#This Row],[Rôle ou catégorie]]="","",IFERROR(INDEX(Referentiel[[Type de nature]],MATCH(Lignes_2_1[[#This Row],[Rôle ou catégorie]],Referentiel[[Entrée]],0)),"?"))</f>
        <v>0</v>
      </c>
    </row>
    <row r="7" spans="1:20">
      <c r="A7" s="15"/>
      <c r="B7" s="16">
        <f>IF(Lignes_2_1[[#This Row],[Tâche]]="","",IFERROR(INDEX(Taches[[Description]],MATCH(Lignes_2_1[[#This Row],[Tâche]],Taches[[Entrée]],0)),""))</f>
        <v>0</v>
      </c>
      <c r="C7" s="15"/>
      <c r="D7" s="15"/>
      <c r="I7" s="15"/>
      <c r="J7" s="16">
        <f>IF(Lignes_2_1[[#This Row],[Rôle ou catégorie]]="","",IFERROR(INDEX(Referentiel[[Nature]],MATCH(Lignes_2_1[[#This Row],[Rôle ou catégorie]],Referentiel[[Entrée]],0)),"?"))</f>
        <v>0</v>
      </c>
      <c r="K7" s="16">
        <f>IF(Lignes_2_1[[#This Row],[Rôle ou catégorie]]="","",IFERROR(INDEX(Referentiel[[Code comptable]],MATCH(Lignes_2_1[[#This Row],[Rôle ou catégorie]],Referentiel[[Entrée]],0)),"?"))</f>
        <v>0</v>
      </c>
      <c r="L7" s="16">
        <f>IF(Lignes_2_1[[#This Row],[Rôle ou catégorie]]="","",IFERROR(INDEX(Referentiel[[Service]],MATCH(Lignes_2_1[[#This Row],[Rôle ou catégorie]],Referentiel[[Entrée]],0)),"?")&amp;"")</f>
        <v>0</v>
      </c>
      <c r="M7" s="16">
        <f>IF(Lignes_2_1[[#This Row],[Rôle ou catégorie]]="","",IFERROR(INDEX(Referentiel[[Taux horaire]],MATCH(Lignes_2_1[[#This Row],[Rôle ou catégorie]],Referentiel[[Entrée]],0)),"?"))</f>
        <v>0</v>
      </c>
      <c r="N7" s="17">
        <f>IF(Lignes_2_1[[#This Row],[Rôle ou catégorie]]="","",IF(Lignes_2_1[[#This Row],[Type]]="Main-d’œuvre",Lignes_2_1[[#This Row],[Quantité]]*Lignes_2_1[[#This Row],[Heures]],0))</f>
        <v>0</v>
      </c>
      <c r="O7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7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7" s="18">
        <f>IF(Lignes_2_1[[#This Row],[Rôle ou catégorie]]="","",Lignes_2_1[[#This Row],[Main-d’œuvre]]+Lignes_2_1[[#This Row],[Débours]])</f>
        <v>0</v>
      </c>
      <c r="R7" s="18"/>
      <c r="T7" s="16">
        <f>IF(Lignes_2_1[[#This Row],[Rôle ou catégorie]]="","",IFERROR(INDEX(Referentiel[[Type de nature]],MATCH(Lignes_2_1[[#This Row],[Rôle ou catégorie]],Referentiel[[Entrée]],0)),"?"))</f>
        <v>0</v>
      </c>
    </row>
    <row r="8" spans="1:20">
      <c r="A8" s="15"/>
      <c r="B8" s="16">
        <f>IF(Lignes_2_1[[#This Row],[Tâche]]="","",IFERROR(INDEX(Taches[[Description]],MATCH(Lignes_2_1[[#This Row],[Tâche]],Taches[[Entrée]],0)),""))</f>
        <v>0</v>
      </c>
      <c r="C8" s="15"/>
      <c r="D8" s="15"/>
      <c r="I8" s="15"/>
      <c r="J8" s="16">
        <f>IF(Lignes_2_1[[#This Row],[Rôle ou catégorie]]="","",IFERROR(INDEX(Referentiel[[Nature]],MATCH(Lignes_2_1[[#This Row],[Rôle ou catégorie]],Referentiel[[Entrée]],0)),"?"))</f>
        <v>0</v>
      </c>
      <c r="K8" s="16">
        <f>IF(Lignes_2_1[[#This Row],[Rôle ou catégorie]]="","",IFERROR(INDEX(Referentiel[[Code comptable]],MATCH(Lignes_2_1[[#This Row],[Rôle ou catégorie]],Referentiel[[Entrée]],0)),"?"))</f>
        <v>0</v>
      </c>
      <c r="L8" s="16">
        <f>IF(Lignes_2_1[[#This Row],[Rôle ou catégorie]]="","",IFERROR(INDEX(Referentiel[[Service]],MATCH(Lignes_2_1[[#This Row],[Rôle ou catégorie]],Referentiel[[Entrée]],0)),"?")&amp;"")</f>
        <v>0</v>
      </c>
      <c r="M8" s="16">
        <f>IF(Lignes_2_1[[#This Row],[Rôle ou catégorie]]="","",IFERROR(INDEX(Referentiel[[Taux horaire]],MATCH(Lignes_2_1[[#This Row],[Rôle ou catégorie]],Referentiel[[Entrée]],0)),"?"))</f>
        <v>0</v>
      </c>
      <c r="N8" s="17">
        <f>IF(Lignes_2_1[[#This Row],[Rôle ou catégorie]]="","",IF(Lignes_2_1[[#This Row],[Type]]="Main-d’œuvre",Lignes_2_1[[#This Row],[Quantité]]*Lignes_2_1[[#This Row],[Heures]],0))</f>
        <v>0</v>
      </c>
      <c r="O8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8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8" s="18">
        <f>IF(Lignes_2_1[[#This Row],[Rôle ou catégorie]]="","",Lignes_2_1[[#This Row],[Main-d’œuvre]]+Lignes_2_1[[#This Row],[Débours]])</f>
        <v>0</v>
      </c>
      <c r="R8" s="18"/>
      <c r="T8" s="16">
        <f>IF(Lignes_2_1[[#This Row],[Rôle ou catégorie]]="","",IFERROR(INDEX(Referentiel[[Type de nature]],MATCH(Lignes_2_1[[#This Row],[Rôle ou catégorie]],Referentiel[[Entrée]],0)),"?"))</f>
        <v>0</v>
      </c>
    </row>
    <row r="9" spans="1:20">
      <c r="A9" s="15"/>
      <c r="B9" s="16">
        <f>IF(Lignes_2_1[[#This Row],[Tâche]]="","",IFERROR(INDEX(Taches[[Description]],MATCH(Lignes_2_1[[#This Row],[Tâche]],Taches[[Entrée]],0)),""))</f>
        <v>0</v>
      </c>
      <c r="C9" s="15"/>
      <c r="D9" s="15"/>
      <c r="I9" s="15"/>
      <c r="J9" s="16">
        <f>IF(Lignes_2_1[[#This Row],[Rôle ou catégorie]]="","",IFERROR(INDEX(Referentiel[[Nature]],MATCH(Lignes_2_1[[#This Row],[Rôle ou catégorie]],Referentiel[[Entrée]],0)),"?"))</f>
        <v>0</v>
      </c>
      <c r="K9" s="16">
        <f>IF(Lignes_2_1[[#This Row],[Rôle ou catégorie]]="","",IFERROR(INDEX(Referentiel[[Code comptable]],MATCH(Lignes_2_1[[#This Row],[Rôle ou catégorie]],Referentiel[[Entrée]],0)),"?"))</f>
        <v>0</v>
      </c>
      <c r="L9" s="16">
        <f>IF(Lignes_2_1[[#This Row],[Rôle ou catégorie]]="","",IFERROR(INDEX(Referentiel[[Service]],MATCH(Lignes_2_1[[#This Row],[Rôle ou catégorie]],Referentiel[[Entrée]],0)),"?")&amp;"")</f>
        <v>0</v>
      </c>
      <c r="M9" s="16">
        <f>IF(Lignes_2_1[[#This Row],[Rôle ou catégorie]]="","",IFERROR(INDEX(Referentiel[[Taux horaire]],MATCH(Lignes_2_1[[#This Row],[Rôle ou catégorie]],Referentiel[[Entrée]],0)),"?"))</f>
        <v>0</v>
      </c>
      <c r="N9" s="17">
        <f>IF(Lignes_2_1[[#This Row],[Rôle ou catégorie]]="","",IF(Lignes_2_1[[#This Row],[Type]]="Main-d’œuvre",Lignes_2_1[[#This Row],[Quantité]]*Lignes_2_1[[#This Row],[Heures]],0))</f>
        <v>0</v>
      </c>
      <c r="O9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9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9" s="18">
        <f>IF(Lignes_2_1[[#This Row],[Rôle ou catégorie]]="","",Lignes_2_1[[#This Row],[Main-d’œuvre]]+Lignes_2_1[[#This Row],[Débours]])</f>
        <v>0</v>
      </c>
      <c r="R9" s="18"/>
      <c r="T9" s="16">
        <f>IF(Lignes_2_1[[#This Row],[Rôle ou catégorie]]="","",IFERROR(INDEX(Referentiel[[Type de nature]],MATCH(Lignes_2_1[[#This Row],[Rôle ou catégorie]],Referentiel[[Entrée]],0)),"?"))</f>
        <v>0</v>
      </c>
    </row>
    <row r="10" spans="1:20">
      <c r="A10" s="15"/>
      <c r="B10" s="16">
        <f>IF(Lignes_2_1[[#This Row],[Tâche]]="","",IFERROR(INDEX(Taches[[Description]],MATCH(Lignes_2_1[[#This Row],[Tâche]],Taches[[Entrée]],0)),""))</f>
        <v>0</v>
      </c>
      <c r="C10" s="15"/>
      <c r="D10" s="15"/>
      <c r="I10" s="15"/>
      <c r="J10" s="16">
        <f>IF(Lignes_2_1[[#This Row],[Rôle ou catégorie]]="","",IFERROR(INDEX(Referentiel[[Nature]],MATCH(Lignes_2_1[[#This Row],[Rôle ou catégorie]],Referentiel[[Entrée]],0)),"?"))</f>
        <v>0</v>
      </c>
      <c r="K10" s="16">
        <f>IF(Lignes_2_1[[#This Row],[Rôle ou catégorie]]="","",IFERROR(INDEX(Referentiel[[Code comptable]],MATCH(Lignes_2_1[[#This Row],[Rôle ou catégorie]],Referentiel[[Entrée]],0)),"?"))</f>
        <v>0</v>
      </c>
      <c r="L10" s="16">
        <f>IF(Lignes_2_1[[#This Row],[Rôle ou catégorie]]="","",IFERROR(INDEX(Referentiel[[Service]],MATCH(Lignes_2_1[[#This Row],[Rôle ou catégorie]],Referentiel[[Entrée]],0)),"?")&amp;"")</f>
        <v>0</v>
      </c>
      <c r="M10" s="16">
        <f>IF(Lignes_2_1[[#This Row],[Rôle ou catégorie]]="","",IFERROR(INDEX(Referentiel[[Taux horaire]],MATCH(Lignes_2_1[[#This Row],[Rôle ou catégorie]],Referentiel[[Entrée]],0)),"?"))</f>
        <v>0</v>
      </c>
      <c r="N10" s="17">
        <f>IF(Lignes_2_1[[#This Row],[Rôle ou catégorie]]="","",IF(Lignes_2_1[[#This Row],[Type]]="Main-d’œuvre",Lignes_2_1[[#This Row],[Quantité]]*Lignes_2_1[[#This Row],[Heures]],0))</f>
        <v>0</v>
      </c>
      <c r="O10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0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0" s="18">
        <f>IF(Lignes_2_1[[#This Row],[Rôle ou catégorie]]="","",Lignes_2_1[[#This Row],[Main-d’œuvre]]+Lignes_2_1[[#This Row],[Débours]])</f>
        <v>0</v>
      </c>
      <c r="R10" s="18"/>
      <c r="T10" s="16">
        <f>IF(Lignes_2_1[[#This Row],[Rôle ou catégorie]]="","",IFERROR(INDEX(Referentiel[[Type de nature]],MATCH(Lignes_2_1[[#This Row],[Rôle ou catégorie]],Referentiel[[Entrée]],0)),"?"))</f>
        <v>0</v>
      </c>
    </row>
    <row r="11" spans="1:20">
      <c r="A11" s="15"/>
      <c r="B11" s="16">
        <f>IF(Lignes_2_1[[#This Row],[Tâche]]="","",IFERROR(INDEX(Taches[[Description]],MATCH(Lignes_2_1[[#This Row],[Tâche]],Taches[[Entrée]],0)),""))</f>
        <v>0</v>
      </c>
      <c r="C11" s="15"/>
      <c r="D11" s="15"/>
      <c r="I11" s="15"/>
      <c r="J11" s="16">
        <f>IF(Lignes_2_1[[#This Row],[Rôle ou catégorie]]="","",IFERROR(INDEX(Referentiel[[Nature]],MATCH(Lignes_2_1[[#This Row],[Rôle ou catégorie]],Referentiel[[Entrée]],0)),"?"))</f>
        <v>0</v>
      </c>
      <c r="K11" s="16">
        <f>IF(Lignes_2_1[[#This Row],[Rôle ou catégorie]]="","",IFERROR(INDEX(Referentiel[[Code comptable]],MATCH(Lignes_2_1[[#This Row],[Rôle ou catégorie]],Referentiel[[Entrée]],0)),"?"))</f>
        <v>0</v>
      </c>
      <c r="L11" s="16">
        <f>IF(Lignes_2_1[[#This Row],[Rôle ou catégorie]]="","",IFERROR(INDEX(Referentiel[[Service]],MATCH(Lignes_2_1[[#This Row],[Rôle ou catégorie]],Referentiel[[Entrée]],0)),"?")&amp;"")</f>
        <v>0</v>
      </c>
      <c r="M11" s="16">
        <f>IF(Lignes_2_1[[#This Row],[Rôle ou catégorie]]="","",IFERROR(INDEX(Referentiel[[Taux horaire]],MATCH(Lignes_2_1[[#This Row],[Rôle ou catégorie]],Referentiel[[Entrée]],0)),"?"))</f>
        <v>0</v>
      </c>
      <c r="N11" s="17">
        <f>IF(Lignes_2_1[[#This Row],[Rôle ou catégorie]]="","",IF(Lignes_2_1[[#This Row],[Type]]="Main-d’œuvre",Lignes_2_1[[#This Row],[Quantité]]*Lignes_2_1[[#This Row],[Heures]],0))</f>
        <v>0</v>
      </c>
      <c r="O11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1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1" s="18">
        <f>IF(Lignes_2_1[[#This Row],[Rôle ou catégorie]]="","",Lignes_2_1[[#This Row],[Main-d’œuvre]]+Lignes_2_1[[#This Row],[Débours]])</f>
        <v>0</v>
      </c>
      <c r="R11" s="18"/>
      <c r="T11" s="16">
        <f>IF(Lignes_2_1[[#This Row],[Rôle ou catégorie]]="","",IFERROR(INDEX(Referentiel[[Type de nature]],MATCH(Lignes_2_1[[#This Row],[Rôle ou catégorie]],Referentiel[[Entrée]],0)),"?"))</f>
        <v>0</v>
      </c>
    </row>
    <row r="12" spans="1:20">
      <c r="A12" s="15"/>
      <c r="B12" s="16">
        <f>IF(Lignes_2_1[[#This Row],[Tâche]]="","",IFERROR(INDEX(Taches[[Description]],MATCH(Lignes_2_1[[#This Row],[Tâche]],Taches[[Entrée]],0)),""))</f>
        <v>0</v>
      </c>
      <c r="C12" s="15"/>
      <c r="D12" s="15"/>
      <c r="I12" s="15"/>
      <c r="J12" s="16">
        <f>IF(Lignes_2_1[[#This Row],[Rôle ou catégorie]]="","",IFERROR(INDEX(Referentiel[[Nature]],MATCH(Lignes_2_1[[#This Row],[Rôle ou catégorie]],Referentiel[[Entrée]],0)),"?"))</f>
        <v>0</v>
      </c>
      <c r="K12" s="16">
        <f>IF(Lignes_2_1[[#This Row],[Rôle ou catégorie]]="","",IFERROR(INDEX(Referentiel[[Code comptable]],MATCH(Lignes_2_1[[#This Row],[Rôle ou catégorie]],Referentiel[[Entrée]],0)),"?"))</f>
        <v>0</v>
      </c>
      <c r="L12" s="16">
        <f>IF(Lignes_2_1[[#This Row],[Rôle ou catégorie]]="","",IFERROR(INDEX(Referentiel[[Service]],MATCH(Lignes_2_1[[#This Row],[Rôle ou catégorie]],Referentiel[[Entrée]],0)),"?")&amp;"")</f>
        <v>0</v>
      </c>
      <c r="M12" s="16">
        <f>IF(Lignes_2_1[[#This Row],[Rôle ou catégorie]]="","",IFERROR(INDEX(Referentiel[[Taux horaire]],MATCH(Lignes_2_1[[#This Row],[Rôle ou catégorie]],Referentiel[[Entrée]],0)),"?"))</f>
        <v>0</v>
      </c>
      <c r="N12" s="17">
        <f>IF(Lignes_2_1[[#This Row],[Rôle ou catégorie]]="","",IF(Lignes_2_1[[#This Row],[Type]]="Main-d’œuvre",Lignes_2_1[[#This Row],[Quantité]]*Lignes_2_1[[#This Row],[Heures]],0))</f>
        <v>0</v>
      </c>
      <c r="O12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2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2" s="18">
        <f>IF(Lignes_2_1[[#This Row],[Rôle ou catégorie]]="","",Lignes_2_1[[#This Row],[Main-d’œuvre]]+Lignes_2_1[[#This Row],[Débours]])</f>
        <v>0</v>
      </c>
      <c r="R12" s="18"/>
      <c r="T12" s="16">
        <f>IF(Lignes_2_1[[#This Row],[Rôle ou catégorie]]="","",IFERROR(INDEX(Referentiel[[Type de nature]],MATCH(Lignes_2_1[[#This Row],[Rôle ou catégorie]],Referentiel[[Entrée]],0)),"?"))</f>
        <v>0</v>
      </c>
    </row>
    <row r="13" spans="1:20">
      <c r="A13" s="15"/>
      <c r="B13" s="16">
        <f>IF(Lignes_2_1[[#This Row],[Tâche]]="","",IFERROR(INDEX(Taches[[Description]],MATCH(Lignes_2_1[[#This Row],[Tâche]],Taches[[Entrée]],0)),""))</f>
        <v>0</v>
      </c>
      <c r="C13" s="15"/>
      <c r="D13" s="15"/>
      <c r="I13" s="15"/>
      <c r="J13" s="16">
        <f>IF(Lignes_2_1[[#This Row],[Rôle ou catégorie]]="","",IFERROR(INDEX(Referentiel[[Nature]],MATCH(Lignes_2_1[[#This Row],[Rôle ou catégorie]],Referentiel[[Entrée]],0)),"?"))</f>
        <v>0</v>
      </c>
      <c r="K13" s="16">
        <f>IF(Lignes_2_1[[#This Row],[Rôle ou catégorie]]="","",IFERROR(INDEX(Referentiel[[Code comptable]],MATCH(Lignes_2_1[[#This Row],[Rôle ou catégorie]],Referentiel[[Entrée]],0)),"?"))</f>
        <v>0</v>
      </c>
      <c r="L13" s="16">
        <f>IF(Lignes_2_1[[#This Row],[Rôle ou catégorie]]="","",IFERROR(INDEX(Referentiel[[Service]],MATCH(Lignes_2_1[[#This Row],[Rôle ou catégorie]],Referentiel[[Entrée]],0)),"?")&amp;"")</f>
        <v>0</v>
      </c>
      <c r="M13" s="16">
        <f>IF(Lignes_2_1[[#This Row],[Rôle ou catégorie]]="","",IFERROR(INDEX(Referentiel[[Taux horaire]],MATCH(Lignes_2_1[[#This Row],[Rôle ou catégorie]],Referentiel[[Entrée]],0)),"?"))</f>
        <v>0</v>
      </c>
      <c r="N13" s="17">
        <f>IF(Lignes_2_1[[#This Row],[Rôle ou catégorie]]="","",IF(Lignes_2_1[[#This Row],[Type]]="Main-d’œuvre",Lignes_2_1[[#This Row],[Quantité]]*Lignes_2_1[[#This Row],[Heures]],0))</f>
        <v>0</v>
      </c>
      <c r="O13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3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3" s="18">
        <f>IF(Lignes_2_1[[#This Row],[Rôle ou catégorie]]="","",Lignes_2_1[[#This Row],[Main-d’œuvre]]+Lignes_2_1[[#This Row],[Débours]])</f>
        <v>0</v>
      </c>
      <c r="R13" s="18"/>
      <c r="T13" s="16">
        <f>IF(Lignes_2_1[[#This Row],[Rôle ou catégorie]]="","",IFERROR(INDEX(Referentiel[[Type de nature]],MATCH(Lignes_2_1[[#This Row],[Rôle ou catégorie]],Referentiel[[Entrée]],0)),"?"))</f>
        <v>0</v>
      </c>
    </row>
    <row r="14" spans="1:20">
      <c r="A14" s="15"/>
      <c r="B14" s="16">
        <f>IF(Lignes_2_1[[#This Row],[Tâche]]="","",IFERROR(INDEX(Taches[[Description]],MATCH(Lignes_2_1[[#This Row],[Tâche]],Taches[[Entrée]],0)),""))</f>
        <v>0</v>
      </c>
      <c r="C14" s="15"/>
      <c r="D14" s="15"/>
      <c r="I14" s="15"/>
      <c r="J14" s="16">
        <f>IF(Lignes_2_1[[#This Row],[Rôle ou catégorie]]="","",IFERROR(INDEX(Referentiel[[Nature]],MATCH(Lignes_2_1[[#This Row],[Rôle ou catégorie]],Referentiel[[Entrée]],0)),"?"))</f>
        <v>0</v>
      </c>
      <c r="K14" s="16">
        <f>IF(Lignes_2_1[[#This Row],[Rôle ou catégorie]]="","",IFERROR(INDEX(Referentiel[[Code comptable]],MATCH(Lignes_2_1[[#This Row],[Rôle ou catégorie]],Referentiel[[Entrée]],0)),"?"))</f>
        <v>0</v>
      </c>
      <c r="L14" s="16">
        <f>IF(Lignes_2_1[[#This Row],[Rôle ou catégorie]]="","",IFERROR(INDEX(Referentiel[[Service]],MATCH(Lignes_2_1[[#This Row],[Rôle ou catégorie]],Referentiel[[Entrée]],0)),"?")&amp;"")</f>
        <v>0</v>
      </c>
      <c r="M14" s="16">
        <f>IF(Lignes_2_1[[#This Row],[Rôle ou catégorie]]="","",IFERROR(INDEX(Referentiel[[Taux horaire]],MATCH(Lignes_2_1[[#This Row],[Rôle ou catégorie]],Referentiel[[Entrée]],0)),"?"))</f>
        <v>0</v>
      </c>
      <c r="N14" s="17">
        <f>IF(Lignes_2_1[[#This Row],[Rôle ou catégorie]]="","",IF(Lignes_2_1[[#This Row],[Type]]="Main-d’œuvre",Lignes_2_1[[#This Row],[Quantité]]*Lignes_2_1[[#This Row],[Heures]],0))</f>
        <v>0</v>
      </c>
      <c r="O14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4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4" s="18">
        <f>IF(Lignes_2_1[[#This Row],[Rôle ou catégorie]]="","",Lignes_2_1[[#This Row],[Main-d’œuvre]]+Lignes_2_1[[#This Row],[Débours]])</f>
        <v>0</v>
      </c>
      <c r="R14" s="18"/>
      <c r="T14" s="16">
        <f>IF(Lignes_2_1[[#This Row],[Rôle ou catégorie]]="","",IFERROR(INDEX(Referentiel[[Type de nature]],MATCH(Lignes_2_1[[#This Row],[Rôle ou catégorie]],Referentiel[[Entrée]],0)),"?"))</f>
        <v>0</v>
      </c>
    </row>
    <row r="15" spans="1:20">
      <c r="A15" s="15"/>
      <c r="B15" s="16">
        <f>IF(Lignes_2_1[[#This Row],[Tâche]]="","",IFERROR(INDEX(Taches[[Description]],MATCH(Lignes_2_1[[#This Row],[Tâche]],Taches[[Entrée]],0)),""))</f>
        <v>0</v>
      </c>
      <c r="C15" s="15"/>
      <c r="D15" s="15"/>
      <c r="I15" s="15"/>
      <c r="J15" s="16">
        <f>IF(Lignes_2_1[[#This Row],[Rôle ou catégorie]]="","",IFERROR(INDEX(Referentiel[[Nature]],MATCH(Lignes_2_1[[#This Row],[Rôle ou catégorie]],Referentiel[[Entrée]],0)),"?"))</f>
        <v>0</v>
      </c>
      <c r="K15" s="16">
        <f>IF(Lignes_2_1[[#This Row],[Rôle ou catégorie]]="","",IFERROR(INDEX(Referentiel[[Code comptable]],MATCH(Lignes_2_1[[#This Row],[Rôle ou catégorie]],Referentiel[[Entrée]],0)),"?"))</f>
        <v>0</v>
      </c>
      <c r="L15" s="16">
        <f>IF(Lignes_2_1[[#This Row],[Rôle ou catégorie]]="","",IFERROR(INDEX(Referentiel[[Service]],MATCH(Lignes_2_1[[#This Row],[Rôle ou catégorie]],Referentiel[[Entrée]],0)),"?")&amp;"")</f>
        <v>0</v>
      </c>
      <c r="M15" s="16">
        <f>IF(Lignes_2_1[[#This Row],[Rôle ou catégorie]]="","",IFERROR(INDEX(Referentiel[[Taux horaire]],MATCH(Lignes_2_1[[#This Row],[Rôle ou catégorie]],Referentiel[[Entrée]],0)),"?"))</f>
        <v>0</v>
      </c>
      <c r="N15" s="17">
        <f>IF(Lignes_2_1[[#This Row],[Rôle ou catégorie]]="","",IF(Lignes_2_1[[#This Row],[Type]]="Main-d’œuvre",Lignes_2_1[[#This Row],[Quantité]]*Lignes_2_1[[#This Row],[Heures]],0))</f>
        <v>0</v>
      </c>
      <c r="O15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5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5" s="18">
        <f>IF(Lignes_2_1[[#This Row],[Rôle ou catégorie]]="","",Lignes_2_1[[#This Row],[Main-d’œuvre]]+Lignes_2_1[[#This Row],[Débours]])</f>
        <v>0</v>
      </c>
      <c r="R15" s="18"/>
      <c r="T15" s="16">
        <f>IF(Lignes_2_1[[#This Row],[Rôle ou catégorie]]="","",IFERROR(INDEX(Referentiel[[Type de nature]],MATCH(Lignes_2_1[[#This Row],[Rôle ou catégorie]],Referentiel[[Entrée]],0)),"?"))</f>
        <v>0</v>
      </c>
    </row>
    <row r="16" spans="1:20">
      <c r="A16" s="15"/>
      <c r="B16" s="16">
        <f>IF(Lignes_2_1[[#This Row],[Tâche]]="","",IFERROR(INDEX(Taches[[Description]],MATCH(Lignes_2_1[[#This Row],[Tâche]],Taches[[Entrée]],0)),""))</f>
        <v>0</v>
      </c>
      <c r="C16" s="15"/>
      <c r="D16" s="15"/>
      <c r="I16" s="15"/>
      <c r="J16" s="16">
        <f>IF(Lignes_2_1[[#This Row],[Rôle ou catégorie]]="","",IFERROR(INDEX(Referentiel[[Nature]],MATCH(Lignes_2_1[[#This Row],[Rôle ou catégorie]],Referentiel[[Entrée]],0)),"?"))</f>
        <v>0</v>
      </c>
      <c r="K16" s="16">
        <f>IF(Lignes_2_1[[#This Row],[Rôle ou catégorie]]="","",IFERROR(INDEX(Referentiel[[Code comptable]],MATCH(Lignes_2_1[[#This Row],[Rôle ou catégorie]],Referentiel[[Entrée]],0)),"?"))</f>
        <v>0</v>
      </c>
      <c r="L16" s="16">
        <f>IF(Lignes_2_1[[#This Row],[Rôle ou catégorie]]="","",IFERROR(INDEX(Referentiel[[Service]],MATCH(Lignes_2_1[[#This Row],[Rôle ou catégorie]],Referentiel[[Entrée]],0)),"?")&amp;"")</f>
        <v>0</v>
      </c>
      <c r="M16" s="16">
        <f>IF(Lignes_2_1[[#This Row],[Rôle ou catégorie]]="","",IFERROR(INDEX(Referentiel[[Taux horaire]],MATCH(Lignes_2_1[[#This Row],[Rôle ou catégorie]],Referentiel[[Entrée]],0)),"?"))</f>
        <v>0</v>
      </c>
      <c r="N16" s="17">
        <f>IF(Lignes_2_1[[#This Row],[Rôle ou catégorie]]="","",IF(Lignes_2_1[[#This Row],[Type]]="Main-d’œuvre",Lignes_2_1[[#This Row],[Quantité]]*Lignes_2_1[[#This Row],[Heures]],0))</f>
        <v>0</v>
      </c>
      <c r="O16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6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6" s="18">
        <f>IF(Lignes_2_1[[#This Row],[Rôle ou catégorie]]="","",Lignes_2_1[[#This Row],[Main-d’œuvre]]+Lignes_2_1[[#This Row],[Débours]])</f>
        <v>0</v>
      </c>
      <c r="R16" s="18"/>
      <c r="T16" s="16">
        <f>IF(Lignes_2_1[[#This Row],[Rôle ou catégorie]]="","",IFERROR(INDEX(Referentiel[[Type de nature]],MATCH(Lignes_2_1[[#This Row],[Rôle ou catégorie]],Referentiel[[Entrée]],0)),"?"))</f>
        <v>0</v>
      </c>
    </row>
    <row r="17" spans="1:20">
      <c r="A17" s="15"/>
      <c r="B17" s="16">
        <f>IF(Lignes_2_1[[#This Row],[Tâche]]="","",IFERROR(INDEX(Taches[[Description]],MATCH(Lignes_2_1[[#This Row],[Tâche]],Taches[[Entrée]],0)),""))</f>
        <v>0</v>
      </c>
      <c r="C17" s="15"/>
      <c r="D17" s="15"/>
      <c r="I17" s="15"/>
      <c r="J17" s="16">
        <f>IF(Lignes_2_1[[#This Row],[Rôle ou catégorie]]="","",IFERROR(INDEX(Referentiel[[Nature]],MATCH(Lignes_2_1[[#This Row],[Rôle ou catégorie]],Referentiel[[Entrée]],0)),"?"))</f>
        <v>0</v>
      </c>
      <c r="K17" s="16">
        <f>IF(Lignes_2_1[[#This Row],[Rôle ou catégorie]]="","",IFERROR(INDEX(Referentiel[[Code comptable]],MATCH(Lignes_2_1[[#This Row],[Rôle ou catégorie]],Referentiel[[Entrée]],0)),"?"))</f>
        <v>0</v>
      </c>
      <c r="L17" s="16">
        <f>IF(Lignes_2_1[[#This Row],[Rôle ou catégorie]]="","",IFERROR(INDEX(Referentiel[[Service]],MATCH(Lignes_2_1[[#This Row],[Rôle ou catégorie]],Referentiel[[Entrée]],0)),"?")&amp;"")</f>
        <v>0</v>
      </c>
      <c r="M17" s="16">
        <f>IF(Lignes_2_1[[#This Row],[Rôle ou catégorie]]="","",IFERROR(INDEX(Referentiel[[Taux horaire]],MATCH(Lignes_2_1[[#This Row],[Rôle ou catégorie]],Referentiel[[Entrée]],0)),"?"))</f>
        <v>0</v>
      </c>
      <c r="N17" s="17">
        <f>IF(Lignes_2_1[[#This Row],[Rôle ou catégorie]]="","",IF(Lignes_2_1[[#This Row],[Type]]="Main-d’œuvre",Lignes_2_1[[#This Row],[Quantité]]*Lignes_2_1[[#This Row],[Heures]],0))</f>
        <v>0</v>
      </c>
      <c r="O17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7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7" s="18">
        <f>IF(Lignes_2_1[[#This Row],[Rôle ou catégorie]]="","",Lignes_2_1[[#This Row],[Main-d’œuvre]]+Lignes_2_1[[#This Row],[Débours]])</f>
        <v>0</v>
      </c>
      <c r="R17" s="18"/>
      <c r="T17" s="16">
        <f>IF(Lignes_2_1[[#This Row],[Rôle ou catégorie]]="","",IFERROR(INDEX(Referentiel[[Type de nature]],MATCH(Lignes_2_1[[#This Row],[Rôle ou catégorie]],Referentiel[[Entrée]],0)),"?"))</f>
        <v>0</v>
      </c>
    </row>
    <row r="18" spans="1:20">
      <c r="A18" s="15"/>
      <c r="B18" s="16">
        <f>IF(Lignes_2_1[[#This Row],[Tâche]]="","",IFERROR(INDEX(Taches[[Description]],MATCH(Lignes_2_1[[#This Row],[Tâche]],Taches[[Entrée]],0)),""))</f>
        <v>0</v>
      </c>
      <c r="C18" s="15"/>
      <c r="D18" s="15"/>
      <c r="I18" s="15"/>
      <c r="J18" s="16">
        <f>IF(Lignes_2_1[[#This Row],[Rôle ou catégorie]]="","",IFERROR(INDEX(Referentiel[[Nature]],MATCH(Lignes_2_1[[#This Row],[Rôle ou catégorie]],Referentiel[[Entrée]],0)),"?"))</f>
        <v>0</v>
      </c>
      <c r="K18" s="16">
        <f>IF(Lignes_2_1[[#This Row],[Rôle ou catégorie]]="","",IFERROR(INDEX(Referentiel[[Code comptable]],MATCH(Lignes_2_1[[#This Row],[Rôle ou catégorie]],Referentiel[[Entrée]],0)),"?"))</f>
        <v>0</v>
      </c>
      <c r="L18" s="16">
        <f>IF(Lignes_2_1[[#This Row],[Rôle ou catégorie]]="","",IFERROR(INDEX(Referentiel[[Service]],MATCH(Lignes_2_1[[#This Row],[Rôle ou catégorie]],Referentiel[[Entrée]],0)),"?")&amp;"")</f>
        <v>0</v>
      </c>
      <c r="M18" s="16">
        <f>IF(Lignes_2_1[[#This Row],[Rôle ou catégorie]]="","",IFERROR(INDEX(Referentiel[[Taux horaire]],MATCH(Lignes_2_1[[#This Row],[Rôle ou catégorie]],Referentiel[[Entrée]],0)),"?"))</f>
        <v>0</v>
      </c>
      <c r="N18" s="17">
        <f>IF(Lignes_2_1[[#This Row],[Rôle ou catégorie]]="","",IF(Lignes_2_1[[#This Row],[Type]]="Main-d’œuvre",Lignes_2_1[[#This Row],[Quantité]]*Lignes_2_1[[#This Row],[Heures]],0))</f>
        <v>0</v>
      </c>
      <c r="O18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8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8" s="18">
        <f>IF(Lignes_2_1[[#This Row],[Rôle ou catégorie]]="","",Lignes_2_1[[#This Row],[Main-d’œuvre]]+Lignes_2_1[[#This Row],[Débours]])</f>
        <v>0</v>
      </c>
      <c r="R18" s="18"/>
      <c r="T18" s="16">
        <f>IF(Lignes_2_1[[#This Row],[Rôle ou catégorie]]="","",IFERROR(INDEX(Referentiel[[Type de nature]],MATCH(Lignes_2_1[[#This Row],[Rôle ou catégorie]],Referentiel[[Entrée]],0)),"?"))</f>
        <v>0</v>
      </c>
    </row>
    <row r="19" spans="1:20">
      <c r="A19" s="15"/>
      <c r="B19" s="16">
        <f>IF(Lignes_2_1[[#This Row],[Tâche]]="","",IFERROR(INDEX(Taches[[Description]],MATCH(Lignes_2_1[[#This Row],[Tâche]],Taches[[Entrée]],0)),""))</f>
        <v>0</v>
      </c>
      <c r="C19" s="15"/>
      <c r="D19" s="15"/>
      <c r="I19" s="15"/>
      <c r="J19" s="16">
        <f>IF(Lignes_2_1[[#This Row],[Rôle ou catégorie]]="","",IFERROR(INDEX(Referentiel[[Nature]],MATCH(Lignes_2_1[[#This Row],[Rôle ou catégorie]],Referentiel[[Entrée]],0)),"?"))</f>
        <v>0</v>
      </c>
      <c r="K19" s="16">
        <f>IF(Lignes_2_1[[#This Row],[Rôle ou catégorie]]="","",IFERROR(INDEX(Referentiel[[Code comptable]],MATCH(Lignes_2_1[[#This Row],[Rôle ou catégorie]],Referentiel[[Entrée]],0)),"?"))</f>
        <v>0</v>
      </c>
      <c r="L19" s="16">
        <f>IF(Lignes_2_1[[#This Row],[Rôle ou catégorie]]="","",IFERROR(INDEX(Referentiel[[Service]],MATCH(Lignes_2_1[[#This Row],[Rôle ou catégorie]],Referentiel[[Entrée]],0)),"?")&amp;"")</f>
        <v>0</v>
      </c>
      <c r="M19" s="16">
        <f>IF(Lignes_2_1[[#This Row],[Rôle ou catégorie]]="","",IFERROR(INDEX(Referentiel[[Taux horaire]],MATCH(Lignes_2_1[[#This Row],[Rôle ou catégorie]],Referentiel[[Entrée]],0)),"?"))</f>
        <v>0</v>
      </c>
      <c r="N19" s="17">
        <f>IF(Lignes_2_1[[#This Row],[Rôle ou catégorie]]="","",IF(Lignes_2_1[[#This Row],[Type]]="Main-d’œuvre",Lignes_2_1[[#This Row],[Quantité]]*Lignes_2_1[[#This Row],[Heures]],0))</f>
        <v>0</v>
      </c>
      <c r="O19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19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19" s="18">
        <f>IF(Lignes_2_1[[#This Row],[Rôle ou catégorie]]="","",Lignes_2_1[[#This Row],[Main-d’œuvre]]+Lignes_2_1[[#This Row],[Débours]])</f>
        <v>0</v>
      </c>
      <c r="R19" s="18"/>
      <c r="T19" s="16">
        <f>IF(Lignes_2_1[[#This Row],[Rôle ou catégorie]]="","",IFERROR(INDEX(Referentiel[[Type de nature]],MATCH(Lignes_2_1[[#This Row],[Rôle ou catégorie]],Referentiel[[Entrée]],0)),"?"))</f>
        <v>0</v>
      </c>
    </row>
    <row r="20" spans="1:20">
      <c r="A20" s="15"/>
      <c r="B20" s="16">
        <f>IF(Lignes_2_1[[#This Row],[Tâche]]="","",IFERROR(INDEX(Taches[[Description]],MATCH(Lignes_2_1[[#This Row],[Tâche]],Taches[[Entrée]],0)),""))</f>
        <v>0</v>
      </c>
      <c r="C20" s="15"/>
      <c r="D20" s="15"/>
      <c r="I20" s="15"/>
      <c r="J20" s="16">
        <f>IF(Lignes_2_1[[#This Row],[Rôle ou catégorie]]="","",IFERROR(INDEX(Referentiel[[Nature]],MATCH(Lignes_2_1[[#This Row],[Rôle ou catégorie]],Referentiel[[Entrée]],0)),"?"))</f>
        <v>0</v>
      </c>
      <c r="K20" s="16">
        <f>IF(Lignes_2_1[[#This Row],[Rôle ou catégorie]]="","",IFERROR(INDEX(Referentiel[[Code comptable]],MATCH(Lignes_2_1[[#This Row],[Rôle ou catégorie]],Referentiel[[Entrée]],0)),"?"))</f>
        <v>0</v>
      </c>
      <c r="L20" s="16">
        <f>IF(Lignes_2_1[[#This Row],[Rôle ou catégorie]]="","",IFERROR(INDEX(Referentiel[[Service]],MATCH(Lignes_2_1[[#This Row],[Rôle ou catégorie]],Referentiel[[Entrée]],0)),"?")&amp;"")</f>
        <v>0</v>
      </c>
      <c r="M20" s="16">
        <f>IF(Lignes_2_1[[#This Row],[Rôle ou catégorie]]="","",IFERROR(INDEX(Referentiel[[Taux horaire]],MATCH(Lignes_2_1[[#This Row],[Rôle ou catégorie]],Referentiel[[Entrée]],0)),"?"))</f>
        <v>0</v>
      </c>
      <c r="N20" s="17">
        <f>IF(Lignes_2_1[[#This Row],[Rôle ou catégorie]]="","",IF(Lignes_2_1[[#This Row],[Type]]="Main-d’œuvre",Lignes_2_1[[#This Row],[Quantité]]*Lignes_2_1[[#This Row],[Heures]],0))</f>
        <v>0</v>
      </c>
      <c r="O20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0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0" s="18">
        <f>IF(Lignes_2_1[[#This Row],[Rôle ou catégorie]]="","",Lignes_2_1[[#This Row],[Main-d’œuvre]]+Lignes_2_1[[#This Row],[Débours]])</f>
        <v>0</v>
      </c>
      <c r="R20" s="18"/>
      <c r="T20" s="16">
        <f>IF(Lignes_2_1[[#This Row],[Rôle ou catégorie]]="","",IFERROR(INDEX(Referentiel[[Type de nature]],MATCH(Lignes_2_1[[#This Row],[Rôle ou catégorie]],Referentiel[[Entrée]],0)),"?"))</f>
        <v>0</v>
      </c>
    </row>
    <row r="21" spans="1:20">
      <c r="A21" s="15"/>
      <c r="B21" s="16">
        <f>IF(Lignes_2_1[[#This Row],[Tâche]]="","",IFERROR(INDEX(Taches[[Description]],MATCH(Lignes_2_1[[#This Row],[Tâche]],Taches[[Entrée]],0)),""))</f>
        <v>0</v>
      </c>
      <c r="C21" s="15"/>
      <c r="D21" s="15"/>
      <c r="I21" s="15"/>
      <c r="J21" s="16">
        <f>IF(Lignes_2_1[[#This Row],[Rôle ou catégorie]]="","",IFERROR(INDEX(Referentiel[[Nature]],MATCH(Lignes_2_1[[#This Row],[Rôle ou catégorie]],Referentiel[[Entrée]],0)),"?"))</f>
        <v>0</v>
      </c>
      <c r="K21" s="16">
        <f>IF(Lignes_2_1[[#This Row],[Rôle ou catégorie]]="","",IFERROR(INDEX(Referentiel[[Code comptable]],MATCH(Lignes_2_1[[#This Row],[Rôle ou catégorie]],Referentiel[[Entrée]],0)),"?"))</f>
        <v>0</v>
      </c>
      <c r="L21" s="16">
        <f>IF(Lignes_2_1[[#This Row],[Rôle ou catégorie]]="","",IFERROR(INDEX(Referentiel[[Service]],MATCH(Lignes_2_1[[#This Row],[Rôle ou catégorie]],Referentiel[[Entrée]],0)),"?")&amp;"")</f>
        <v>0</v>
      </c>
      <c r="M21" s="16">
        <f>IF(Lignes_2_1[[#This Row],[Rôle ou catégorie]]="","",IFERROR(INDEX(Referentiel[[Taux horaire]],MATCH(Lignes_2_1[[#This Row],[Rôle ou catégorie]],Referentiel[[Entrée]],0)),"?"))</f>
        <v>0</v>
      </c>
      <c r="N21" s="17">
        <f>IF(Lignes_2_1[[#This Row],[Rôle ou catégorie]]="","",IF(Lignes_2_1[[#This Row],[Type]]="Main-d’œuvre",Lignes_2_1[[#This Row],[Quantité]]*Lignes_2_1[[#This Row],[Heures]],0))</f>
        <v>0</v>
      </c>
      <c r="O21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1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1" s="18">
        <f>IF(Lignes_2_1[[#This Row],[Rôle ou catégorie]]="","",Lignes_2_1[[#This Row],[Main-d’œuvre]]+Lignes_2_1[[#This Row],[Débours]])</f>
        <v>0</v>
      </c>
      <c r="R21" s="18"/>
      <c r="T21" s="16">
        <f>IF(Lignes_2_1[[#This Row],[Rôle ou catégorie]]="","",IFERROR(INDEX(Referentiel[[Type de nature]],MATCH(Lignes_2_1[[#This Row],[Rôle ou catégorie]],Referentiel[[Entrée]],0)),"?"))</f>
        <v>0</v>
      </c>
    </row>
    <row r="22" spans="1:20">
      <c r="A22" s="15"/>
      <c r="B22" s="16">
        <f>IF(Lignes_2_1[[#This Row],[Tâche]]="","",IFERROR(INDEX(Taches[[Description]],MATCH(Lignes_2_1[[#This Row],[Tâche]],Taches[[Entrée]],0)),""))</f>
        <v>0</v>
      </c>
      <c r="C22" s="15"/>
      <c r="D22" s="15"/>
      <c r="I22" s="15"/>
      <c r="J22" s="16">
        <f>IF(Lignes_2_1[[#This Row],[Rôle ou catégorie]]="","",IFERROR(INDEX(Referentiel[[Nature]],MATCH(Lignes_2_1[[#This Row],[Rôle ou catégorie]],Referentiel[[Entrée]],0)),"?"))</f>
        <v>0</v>
      </c>
      <c r="K22" s="16">
        <f>IF(Lignes_2_1[[#This Row],[Rôle ou catégorie]]="","",IFERROR(INDEX(Referentiel[[Code comptable]],MATCH(Lignes_2_1[[#This Row],[Rôle ou catégorie]],Referentiel[[Entrée]],0)),"?"))</f>
        <v>0</v>
      </c>
      <c r="L22" s="16">
        <f>IF(Lignes_2_1[[#This Row],[Rôle ou catégorie]]="","",IFERROR(INDEX(Referentiel[[Service]],MATCH(Lignes_2_1[[#This Row],[Rôle ou catégorie]],Referentiel[[Entrée]],0)),"?")&amp;"")</f>
        <v>0</v>
      </c>
      <c r="M22" s="16">
        <f>IF(Lignes_2_1[[#This Row],[Rôle ou catégorie]]="","",IFERROR(INDEX(Referentiel[[Taux horaire]],MATCH(Lignes_2_1[[#This Row],[Rôle ou catégorie]],Referentiel[[Entrée]],0)),"?"))</f>
        <v>0</v>
      </c>
      <c r="N22" s="17">
        <f>IF(Lignes_2_1[[#This Row],[Rôle ou catégorie]]="","",IF(Lignes_2_1[[#This Row],[Type]]="Main-d’œuvre",Lignes_2_1[[#This Row],[Quantité]]*Lignes_2_1[[#This Row],[Heures]],0))</f>
        <v>0</v>
      </c>
      <c r="O22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2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2" s="18">
        <f>IF(Lignes_2_1[[#This Row],[Rôle ou catégorie]]="","",Lignes_2_1[[#This Row],[Main-d’œuvre]]+Lignes_2_1[[#This Row],[Débours]])</f>
        <v>0</v>
      </c>
      <c r="R22" s="18"/>
      <c r="T22" s="16">
        <f>IF(Lignes_2_1[[#This Row],[Rôle ou catégorie]]="","",IFERROR(INDEX(Referentiel[[Type de nature]],MATCH(Lignes_2_1[[#This Row],[Rôle ou catégorie]],Referentiel[[Entrée]],0)),"?"))</f>
        <v>0</v>
      </c>
    </row>
    <row r="23" spans="1:20">
      <c r="A23" s="15"/>
      <c r="B23" s="16">
        <f>IF(Lignes_2_1[[#This Row],[Tâche]]="","",IFERROR(INDEX(Taches[[Description]],MATCH(Lignes_2_1[[#This Row],[Tâche]],Taches[[Entrée]],0)),""))</f>
        <v>0</v>
      </c>
      <c r="C23" s="15"/>
      <c r="D23" s="15"/>
      <c r="I23" s="15"/>
      <c r="J23" s="16">
        <f>IF(Lignes_2_1[[#This Row],[Rôle ou catégorie]]="","",IFERROR(INDEX(Referentiel[[Nature]],MATCH(Lignes_2_1[[#This Row],[Rôle ou catégorie]],Referentiel[[Entrée]],0)),"?"))</f>
        <v>0</v>
      </c>
      <c r="K23" s="16">
        <f>IF(Lignes_2_1[[#This Row],[Rôle ou catégorie]]="","",IFERROR(INDEX(Referentiel[[Code comptable]],MATCH(Lignes_2_1[[#This Row],[Rôle ou catégorie]],Referentiel[[Entrée]],0)),"?"))</f>
        <v>0</v>
      </c>
      <c r="L23" s="16">
        <f>IF(Lignes_2_1[[#This Row],[Rôle ou catégorie]]="","",IFERROR(INDEX(Referentiel[[Service]],MATCH(Lignes_2_1[[#This Row],[Rôle ou catégorie]],Referentiel[[Entrée]],0)),"?")&amp;"")</f>
        <v>0</v>
      </c>
      <c r="M23" s="16">
        <f>IF(Lignes_2_1[[#This Row],[Rôle ou catégorie]]="","",IFERROR(INDEX(Referentiel[[Taux horaire]],MATCH(Lignes_2_1[[#This Row],[Rôle ou catégorie]],Referentiel[[Entrée]],0)),"?"))</f>
        <v>0</v>
      </c>
      <c r="N23" s="17">
        <f>IF(Lignes_2_1[[#This Row],[Rôle ou catégorie]]="","",IF(Lignes_2_1[[#This Row],[Type]]="Main-d’œuvre",Lignes_2_1[[#This Row],[Quantité]]*Lignes_2_1[[#This Row],[Heures]],0))</f>
        <v>0</v>
      </c>
      <c r="O23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3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3" s="18">
        <f>IF(Lignes_2_1[[#This Row],[Rôle ou catégorie]]="","",Lignes_2_1[[#This Row],[Main-d’œuvre]]+Lignes_2_1[[#This Row],[Débours]])</f>
        <v>0</v>
      </c>
      <c r="R23" s="18"/>
      <c r="T23" s="16">
        <f>IF(Lignes_2_1[[#This Row],[Rôle ou catégorie]]="","",IFERROR(INDEX(Referentiel[[Type de nature]],MATCH(Lignes_2_1[[#This Row],[Rôle ou catégorie]],Referentiel[[Entrée]],0)),"?"))</f>
        <v>0</v>
      </c>
    </row>
    <row r="24" spans="1:20">
      <c r="A24" s="15"/>
      <c r="B24" s="16">
        <f>IF(Lignes_2_1[[#This Row],[Tâche]]="","",IFERROR(INDEX(Taches[[Description]],MATCH(Lignes_2_1[[#This Row],[Tâche]],Taches[[Entrée]],0)),""))</f>
        <v>0</v>
      </c>
      <c r="C24" s="15"/>
      <c r="D24" s="15"/>
      <c r="I24" s="15"/>
      <c r="J24" s="16">
        <f>IF(Lignes_2_1[[#This Row],[Rôle ou catégorie]]="","",IFERROR(INDEX(Referentiel[[Nature]],MATCH(Lignes_2_1[[#This Row],[Rôle ou catégorie]],Referentiel[[Entrée]],0)),"?"))</f>
        <v>0</v>
      </c>
      <c r="K24" s="16">
        <f>IF(Lignes_2_1[[#This Row],[Rôle ou catégorie]]="","",IFERROR(INDEX(Referentiel[[Code comptable]],MATCH(Lignes_2_1[[#This Row],[Rôle ou catégorie]],Referentiel[[Entrée]],0)),"?"))</f>
        <v>0</v>
      </c>
      <c r="L24" s="16">
        <f>IF(Lignes_2_1[[#This Row],[Rôle ou catégorie]]="","",IFERROR(INDEX(Referentiel[[Service]],MATCH(Lignes_2_1[[#This Row],[Rôle ou catégorie]],Referentiel[[Entrée]],0)),"?")&amp;"")</f>
        <v>0</v>
      </c>
      <c r="M24" s="16">
        <f>IF(Lignes_2_1[[#This Row],[Rôle ou catégorie]]="","",IFERROR(INDEX(Referentiel[[Taux horaire]],MATCH(Lignes_2_1[[#This Row],[Rôle ou catégorie]],Referentiel[[Entrée]],0)),"?"))</f>
        <v>0</v>
      </c>
      <c r="N24" s="17">
        <f>IF(Lignes_2_1[[#This Row],[Rôle ou catégorie]]="","",IF(Lignes_2_1[[#This Row],[Type]]="Main-d’œuvre",Lignes_2_1[[#This Row],[Quantité]]*Lignes_2_1[[#This Row],[Heures]],0))</f>
        <v>0</v>
      </c>
      <c r="O24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4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4" s="18">
        <f>IF(Lignes_2_1[[#This Row],[Rôle ou catégorie]]="","",Lignes_2_1[[#This Row],[Main-d’œuvre]]+Lignes_2_1[[#This Row],[Débours]])</f>
        <v>0</v>
      </c>
      <c r="R24" s="18"/>
      <c r="T24" s="16">
        <f>IF(Lignes_2_1[[#This Row],[Rôle ou catégorie]]="","",IFERROR(INDEX(Referentiel[[Type de nature]],MATCH(Lignes_2_1[[#This Row],[Rôle ou catégorie]],Referentiel[[Entrée]],0)),"?"))</f>
        <v>0</v>
      </c>
    </row>
    <row r="25" spans="1:20">
      <c r="A25" s="15"/>
      <c r="B25" s="16">
        <f>IF(Lignes_2_1[[#This Row],[Tâche]]="","",IFERROR(INDEX(Taches[[Description]],MATCH(Lignes_2_1[[#This Row],[Tâche]],Taches[[Entrée]],0)),""))</f>
        <v>0</v>
      </c>
      <c r="C25" s="15"/>
      <c r="D25" s="15"/>
      <c r="I25" s="15"/>
      <c r="J25" s="16">
        <f>IF(Lignes_2_1[[#This Row],[Rôle ou catégorie]]="","",IFERROR(INDEX(Referentiel[[Nature]],MATCH(Lignes_2_1[[#This Row],[Rôle ou catégorie]],Referentiel[[Entrée]],0)),"?"))</f>
        <v>0</v>
      </c>
      <c r="K25" s="16">
        <f>IF(Lignes_2_1[[#This Row],[Rôle ou catégorie]]="","",IFERROR(INDEX(Referentiel[[Code comptable]],MATCH(Lignes_2_1[[#This Row],[Rôle ou catégorie]],Referentiel[[Entrée]],0)),"?"))</f>
        <v>0</v>
      </c>
      <c r="L25" s="16">
        <f>IF(Lignes_2_1[[#This Row],[Rôle ou catégorie]]="","",IFERROR(INDEX(Referentiel[[Service]],MATCH(Lignes_2_1[[#This Row],[Rôle ou catégorie]],Referentiel[[Entrée]],0)),"?")&amp;"")</f>
        <v>0</v>
      </c>
      <c r="M25" s="16">
        <f>IF(Lignes_2_1[[#This Row],[Rôle ou catégorie]]="","",IFERROR(INDEX(Referentiel[[Taux horaire]],MATCH(Lignes_2_1[[#This Row],[Rôle ou catégorie]],Referentiel[[Entrée]],0)),"?"))</f>
        <v>0</v>
      </c>
      <c r="N25" s="17">
        <f>IF(Lignes_2_1[[#This Row],[Rôle ou catégorie]]="","",IF(Lignes_2_1[[#This Row],[Type]]="Main-d’œuvre",Lignes_2_1[[#This Row],[Quantité]]*Lignes_2_1[[#This Row],[Heures]],0))</f>
        <v>0</v>
      </c>
      <c r="O25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5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5" s="18">
        <f>IF(Lignes_2_1[[#This Row],[Rôle ou catégorie]]="","",Lignes_2_1[[#This Row],[Main-d’œuvre]]+Lignes_2_1[[#This Row],[Débours]])</f>
        <v>0</v>
      </c>
      <c r="R25" s="18"/>
      <c r="T25" s="16">
        <f>IF(Lignes_2_1[[#This Row],[Rôle ou catégorie]]="","",IFERROR(INDEX(Referentiel[[Type de nature]],MATCH(Lignes_2_1[[#This Row],[Rôle ou catégorie]],Referentiel[[Entrée]],0)),"?"))</f>
        <v>0</v>
      </c>
    </row>
    <row r="26" spans="1:20">
      <c r="A26" s="15"/>
      <c r="B26" s="16">
        <f>IF(Lignes_2_1[[#This Row],[Tâche]]="","",IFERROR(INDEX(Taches[[Description]],MATCH(Lignes_2_1[[#This Row],[Tâche]],Taches[[Entrée]],0)),""))</f>
        <v>0</v>
      </c>
      <c r="C26" s="15"/>
      <c r="D26" s="15"/>
      <c r="I26" s="15"/>
      <c r="J26" s="16">
        <f>IF(Lignes_2_1[[#This Row],[Rôle ou catégorie]]="","",IFERROR(INDEX(Referentiel[[Nature]],MATCH(Lignes_2_1[[#This Row],[Rôle ou catégorie]],Referentiel[[Entrée]],0)),"?"))</f>
        <v>0</v>
      </c>
      <c r="K26" s="16">
        <f>IF(Lignes_2_1[[#This Row],[Rôle ou catégorie]]="","",IFERROR(INDEX(Referentiel[[Code comptable]],MATCH(Lignes_2_1[[#This Row],[Rôle ou catégorie]],Referentiel[[Entrée]],0)),"?"))</f>
        <v>0</v>
      </c>
      <c r="L26" s="16">
        <f>IF(Lignes_2_1[[#This Row],[Rôle ou catégorie]]="","",IFERROR(INDEX(Referentiel[[Service]],MATCH(Lignes_2_1[[#This Row],[Rôle ou catégorie]],Referentiel[[Entrée]],0)),"?")&amp;"")</f>
        <v>0</v>
      </c>
      <c r="M26" s="16">
        <f>IF(Lignes_2_1[[#This Row],[Rôle ou catégorie]]="","",IFERROR(INDEX(Referentiel[[Taux horaire]],MATCH(Lignes_2_1[[#This Row],[Rôle ou catégorie]],Referentiel[[Entrée]],0)),"?"))</f>
        <v>0</v>
      </c>
      <c r="N26" s="17">
        <f>IF(Lignes_2_1[[#This Row],[Rôle ou catégorie]]="","",IF(Lignes_2_1[[#This Row],[Type]]="Main-d’œuvre",Lignes_2_1[[#This Row],[Quantité]]*Lignes_2_1[[#This Row],[Heures]],0))</f>
        <v>0</v>
      </c>
      <c r="O26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6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6" s="18">
        <f>IF(Lignes_2_1[[#This Row],[Rôle ou catégorie]]="","",Lignes_2_1[[#This Row],[Main-d’œuvre]]+Lignes_2_1[[#This Row],[Débours]])</f>
        <v>0</v>
      </c>
      <c r="R26" s="18"/>
      <c r="T26" s="16">
        <f>IF(Lignes_2_1[[#This Row],[Rôle ou catégorie]]="","",IFERROR(INDEX(Referentiel[[Type de nature]],MATCH(Lignes_2_1[[#This Row],[Rôle ou catégorie]],Referentiel[[Entrée]],0)),"?"))</f>
        <v>0</v>
      </c>
    </row>
    <row r="27" spans="1:20">
      <c r="A27" s="15"/>
      <c r="B27" s="16">
        <f>IF(Lignes_2_1[[#This Row],[Tâche]]="","",IFERROR(INDEX(Taches[[Description]],MATCH(Lignes_2_1[[#This Row],[Tâche]],Taches[[Entrée]],0)),""))</f>
        <v>0</v>
      </c>
      <c r="C27" s="15"/>
      <c r="D27" s="15"/>
      <c r="I27" s="15"/>
      <c r="J27" s="16">
        <f>IF(Lignes_2_1[[#This Row],[Rôle ou catégorie]]="","",IFERROR(INDEX(Referentiel[[Nature]],MATCH(Lignes_2_1[[#This Row],[Rôle ou catégorie]],Referentiel[[Entrée]],0)),"?"))</f>
        <v>0</v>
      </c>
      <c r="K27" s="16">
        <f>IF(Lignes_2_1[[#This Row],[Rôle ou catégorie]]="","",IFERROR(INDEX(Referentiel[[Code comptable]],MATCH(Lignes_2_1[[#This Row],[Rôle ou catégorie]],Referentiel[[Entrée]],0)),"?"))</f>
        <v>0</v>
      </c>
      <c r="L27" s="16">
        <f>IF(Lignes_2_1[[#This Row],[Rôle ou catégorie]]="","",IFERROR(INDEX(Referentiel[[Service]],MATCH(Lignes_2_1[[#This Row],[Rôle ou catégorie]],Referentiel[[Entrée]],0)),"?")&amp;"")</f>
        <v>0</v>
      </c>
      <c r="M27" s="16">
        <f>IF(Lignes_2_1[[#This Row],[Rôle ou catégorie]]="","",IFERROR(INDEX(Referentiel[[Taux horaire]],MATCH(Lignes_2_1[[#This Row],[Rôle ou catégorie]],Referentiel[[Entrée]],0)),"?"))</f>
        <v>0</v>
      </c>
      <c r="N27" s="17">
        <f>IF(Lignes_2_1[[#This Row],[Rôle ou catégorie]]="","",IF(Lignes_2_1[[#This Row],[Type]]="Main-d’œuvre",Lignes_2_1[[#This Row],[Quantité]]*Lignes_2_1[[#This Row],[Heures]],0))</f>
        <v>0</v>
      </c>
      <c r="O27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7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7" s="18">
        <f>IF(Lignes_2_1[[#This Row],[Rôle ou catégorie]]="","",Lignes_2_1[[#This Row],[Main-d’œuvre]]+Lignes_2_1[[#This Row],[Débours]])</f>
        <v>0</v>
      </c>
      <c r="R27" s="18"/>
      <c r="T27" s="16">
        <f>IF(Lignes_2_1[[#This Row],[Rôle ou catégorie]]="","",IFERROR(INDEX(Referentiel[[Type de nature]],MATCH(Lignes_2_1[[#This Row],[Rôle ou catégorie]],Referentiel[[Entrée]],0)),"?"))</f>
        <v>0</v>
      </c>
    </row>
    <row r="28" spans="1:20">
      <c r="A28" s="15"/>
      <c r="B28" s="16">
        <f>IF(Lignes_2_1[[#This Row],[Tâche]]="","",IFERROR(INDEX(Taches[[Description]],MATCH(Lignes_2_1[[#This Row],[Tâche]],Taches[[Entrée]],0)),""))</f>
        <v>0</v>
      </c>
      <c r="C28" s="15"/>
      <c r="D28" s="15"/>
      <c r="I28" s="15"/>
      <c r="J28" s="16">
        <f>IF(Lignes_2_1[[#This Row],[Rôle ou catégorie]]="","",IFERROR(INDEX(Referentiel[[Nature]],MATCH(Lignes_2_1[[#This Row],[Rôle ou catégorie]],Referentiel[[Entrée]],0)),"?"))</f>
        <v>0</v>
      </c>
      <c r="K28" s="16">
        <f>IF(Lignes_2_1[[#This Row],[Rôle ou catégorie]]="","",IFERROR(INDEX(Referentiel[[Code comptable]],MATCH(Lignes_2_1[[#This Row],[Rôle ou catégorie]],Referentiel[[Entrée]],0)),"?"))</f>
        <v>0</v>
      </c>
      <c r="L28" s="16">
        <f>IF(Lignes_2_1[[#This Row],[Rôle ou catégorie]]="","",IFERROR(INDEX(Referentiel[[Service]],MATCH(Lignes_2_1[[#This Row],[Rôle ou catégorie]],Referentiel[[Entrée]],0)),"?")&amp;"")</f>
        <v>0</v>
      </c>
      <c r="M28" s="16">
        <f>IF(Lignes_2_1[[#This Row],[Rôle ou catégorie]]="","",IFERROR(INDEX(Referentiel[[Taux horaire]],MATCH(Lignes_2_1[[#This Row],[Rôle ou catégorie]],Referentiel[[Entrée]],0)),"?"))</f>
        <v>0</v>
      </c>
      <c r="N28" s="17">
        <f>IF(Lignes_2_1[[#This Row],[Rôle ou catégorie]]="","",IF(Lignes_2_1[[#This Row],[Type]]="Main-d’œuvre",Lignes_2_1[[#This Row],[Quantité]]*Lignes_2_1[[#This Row],[Heures]],0))</f>
        <v>0</v>
      </c>
      <c r="O28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8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8" s="18">
        <f>IF(Lignes_2_1[[#This Row],[Rôle ou catégorie]]="","",Lignes_2_1[[#This Row],[Main-d’œuvre]]+Lignes_2_1[[#This Row],[Débours]])</f>
        <v>0</v>
      </c>
      <c r="R28" s="18"/>
      <c r="T28" s="16">
        <f>IF(Lignes_2_1[[#This Row],[Rôle ou catégorie]]="","",IFERROR(INDEX(Referentiel[[Type de nature]],MATCH(Lignes_2_1[[#This Row],[Rôle ou catégorie]],Referentiel[[Entrée]],0)),"?"))</f>
        <v>0</v>
      </c>
    </row>
    <row r="29" spans="1:20">
      <c r="A29" s="15"/>
      <c r="B29" s="16">
        <f>IF(Lignes_2_1[[#This Row],[Tâche]]="","",IFERROR(INDEX(Taches[[Description]],MATCH(Lignes_2_1[[#This Row],[Tâche]],Taches[[Entrée]],0)),""))</f>
        <v>0</v>
      </c>
      <c r="C29" s="15"/>
      <c r="D29" s="15"/>
      <c r="I29" s="15"/>
      <c r="J29" s="16">
        <f>IF(Lignes_2_1[[#This Row],[Rôle ou catégorie]]="","",IFERROR(INDEX(Referentiel[[Nature]],MATCH(Lignes_2_1[[#This Row],[Rôle ou catégorie]],Referentiel[[Entrée]],0)),"?"))</f>
        <v>0</v>
      </c>
      <c r="K29" s="16">
        <f>IF(Lignes_2_1[[#This Row],[Rôle ou catégorie]]="","",IFERROR(INDEX(Referentiel[[Code comptable]],MATCH(Lignes_2_1[[#This Row],[Rôle ou catégorie]],Referentiel[[Entrée]],0)),"?"))</f>
        <v>0</v>
      </c>
      <c r="L29" s="16">
        <f>IF(Lignes_2_1[[#This Row],[Rôle ou catégorie]]="","",IFERROR(INDEX(Referentiel[[Service]],MATCH(Lignes_2_1[[#This Row],[Rôle ou catégorie]],Referentiel[[Entrée]],0)),"?")&amp;"")</f>
        <v>0</v>
      </c>
      <c r="M29" s="16">
        <f>IF(Lignes_2_1[[#This Row],[Rôle ou catégorie]]="","",IFERROR(INDEX(Referentiel[[Taux horaire]],MATCH(Lignes_2_1[[#This Row],[Rôle ou catégorie]],Referentiel[[Entrée]],0)),"?"))</f>
        <v>0</v>
      </c>
      <c r="N29" s="17">
        <f>IF(Lignes_2_1[[#This Row],[Rôle ou catégorie]]="","",IF(Lignes_2_1[[#This Row],[Type]]="Main-d’œuvre",Lignes_2_1[[#This Row],[Quantité]]*Lignes_2_1[[#This Row],[Heures]],0))</f>
        <v>0</v>
      </c>
      <c r="O29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29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29" s="18">
        <f>IF(Lignes_2_1[[#This Row],[Rôle ou catégorie]]="","",Lignes_2_1[[#This Row],[Main-d’œuvre]]+Lignes_2_1[[#This Row],[Débours]])</f>
        <v>0</v>
      </c>
      <c r="R29" s="18"/>
      <c r="T29" s="16">
        <f>IF(Lignes_2_1[[#This Row],[Rôle ou catégorie]]="","",IFERROR(INDEX(Referentiel[[Type de nature]],MATCH(Lignes_2_1[[#This Row],[Rôle ou catégorie]],Referentiel[[Entrée]],0)),"?"))</f>
        <v>0</v>
      </c>
    </row>
    <row r="30" spans="1:20">
      <c r="A30" s="15"/>
      <c r="B30" s="16">
        <f>IF(Lignes_2_1[[#This Row],[Tâche]]="","",IFERROR(INDEX(Taches[[Description]],MATCH(Lignes_2_1[[#This Row],[Tâche]],Taches[[Entrée]],0)),""))</f>
        <v>0</v>
      </c>
      <c r="C30" s="15"/>
      <c r="D30" s="15"/>
      <c r="I30" s="15"/>
      <c r="J30" s="16">
        <f>IF(Lignes_2_1[[#This Row],[Rôle ou catégorie]]="","",IFERROR(INDEX(Referentiel[[Nature]],MATCH(Lignes_2_1[[#This Row],[Rôle ou catégorie]],Referentiel[[Entrée]],0)),"?"))</f>
        <v>0</v>
      </c>
      <c r="K30" s="16">
        <f>IF(Lignes_2_1[[#This Row],[Rôle ou catégorie]]="","",IFERROR(INDEX(Referentiel[[Code comptable]],MATCH(Lignes_2_1[[#This Row],[Rôle ou catégorie]],Referentiel[[Entrée]],0)),"?"))</f>
        <v>0</v>
      </c>
      <c r="L30" s="16">
        <f>IF(Lignes_2_1[[#This Row],[Rôle ou catégorie]]="","",IFERROR(INDEX(Referentiel[[Service]],MATCH(Lignes_2_1[[#This Row],[Rôle ou catégorie]],Referentiel[[Entrée]],0)),"?")&amp;"")</f>
        <v>0</v>
      </c>
      <c r="M30" s="16">
        <f>IF(Lignes_2_1[[#This Row],[Rôle ou catégorie]]="","",IFERROR(INDEX(Referentiel[[Taux horaire]],MATCH(Lignes_2_1[[#This Row],[Rôle ou catégorie]],Referentiel[[Entrée]],0)),"?"))</f>
        <v>0</v>
      </c>
      <c r="N30" s="17">
        <f>IF(Lignes_2_1[[#This Row],[Rôle ou catégorie]]="","",IF(Lignes_2_1[[#This Row],[Type]]="Main-d’œuvre",Lignes_2_1[[#This Row],[Quantité]]*Lignes_2_1[[#This Row],[Heures]],0))</f>
        <v>0</v>
      </c>
      <c r="O30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30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30" s="18">
        <f>IF(Lignes_2_1[[#This Row],[Rôle ou catégorie]]="","",Lignes_2_1[[#This Row],[Main-d’œuvre]]+Lignes_2_1[[#This Row],[Débours]])</f>
        <v>0</v>
      </c>
      <c r="R30" s="18"/>
      <c r="T30" s="16">
        <f>IF(Lignes_2_1[[#This Row],[Rôle ou catégorie]]="","",IFERROR(INDEX(Referentiel[[Type de nature]],MATCH(Lignes_2_1[[#This Row],[Rôle ou catégorie]],Referentiel[[Entrée]],0)),"?"))</f>
        <v>0</v>
      </c>
    </row>
    <row r="31" spans="1:20">
      <c r="A31" s="15"/>
      <c r="B31" s="16">
        <f>IF(Lignes_2_1[[#This Row],[Tâche]]="","",IFERROR(INDEX(Taches[[Description]],MATCH(Lignes_2_1[[#This Row],[Tâche]],Taches[[Entrée]],0)),""))</f>
        <v>0</v>
      </c>
      <c r="C31" s="15"/>
      <c r="D31" s="15"/>
      <c r="I31" s="15"/>
      <c r="J31" s="16">
        <f>IF(Lignes_2_1[[#This Row],[Rôle ou catégorie]]="","",IFERROR(INDEX(Referentiel[[Nature]],MATCH(Lignes_2_1[[#This Row],[Rôle ou catégorie]],Referentiel[[Entrée]],0)),"?"))</f>
        <v>0</v>
      </c>
      <c r="K31" s="16">
        <f>IF(Lignes_2_1[[#This Row],[Rôle ou catégorie]]="","",IFERROR(INDEX(Referentiel[[Code comptable]],MATCH(Lignes_2_1[[#This Row],[Rôle ou catégorie]],Referentiel[[Entrée]],0)),"?"))</f>
        <v>0</v>
      </c>
      <c r="L31" s="16">
        <f>IF(Lignes_2_1[[#This Row],[Rôle ou catégorie]]="","",IFERROR(INDEX(Referentiel[[Service]],MATCH(Lignes_2_1[[#This Row],[Rôle ou catégorie]],Referentiel[[Entrée]],0)),"?")&amp;"")</f>
        <v>0</v>
      </c>
      <c r="M31" s="16">
        <f>IF(Lignes_2_1[[#This Row],[Rôle ou catégorie]]="","",IFERROR(INDEX(Referentiel[[Taux horaire]],MATCH(Lignes_2_1[[#This Row],[Rôle ou catégorie]],Referentiel[[Entrée]],0)),"?"))</f>
        <v>0</v>
      </c>
      <c r="N31" s="17">
        <f>IF(Lignes_2_1[[#This Row],[Rôle ou catégorie]]="","",IF(Lignes_2_1[[#This Row],[Type]]="Main-d’œuvre",Lignes_2_1[[#This Row],[Quantité]]*Lignes_2_1[[#This Row],[Heures]],0))</f>
        <v>0</v>
      </c>
      <c r="O31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31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31" s="18">
        <f>IF(Lignes_2_1[[#This Row],[Rôle ou catégorie]]="","",Lignes_2_1[[#This Row],[Main-d’œuvre]]+Lignes_2_1[[#This Row],[Débours]])</f>
        <v>0</v>
      </c>
      <c r="R31" s="18"/>
      <c r="T31" s="16">
        <f>IF(Lignes_2_1[[#This Row],[Rôle ou catégorie]]="","",IFERROR(INDEX(Referentiel[[Type de nature]],MATCH(Lignes_2_1[[#This Row],[Rôle ou catégorie]],Referentiel[[Entrée]],0)),"?"))</f>
        <v>0</v>
      </c>
    </row>
    <row r="32" spans="1:20">
      <c r="A32" s="15"/>
      <c r="B32" s="16">
        <f>IF(Lignes_2_1[[#This Row],[Tâche]]="","",IFERROR(INDEX(Taches[[Description]],MATCH(Lignes_2_1[[#This Row],[Tâche]],Taches[[Entrée]],0)),""))</f>
        <v>0</v>
      </c>
      <c r="C32" s="15"/>
      <c r="D32" s="15"/>
      <c r="I32" s="15"/>
      <c r="J32" s="16">
        <f>IF(Lignes_2_1[[#This Row],[Rôle ou catégorie]]="","",IFERROR(INDEX(Referentiel[[Nature]],MATCH(Lignes_2_1[[#This Row],[Rôle ou catégorie]],Referentiel[[Entrée]],0)),"?"))</f>
        <v>0</v>
      </c>
      <c r="K32" s="16">
        <f>IF(Lignes_2_1[[#This Row],[Rôle ou catégorie]]="","",IFERROR(INDEX(Referentiel[[Code comptable]],MATCH(Lignes_2_1[[#This Row],[Rôle ou catégorie]],Referentiel[[Entrée]],0)),"?"))</f>
        <v>0</v>
      </c>
      <c r="L32" s="16">
        <f>IF(Lignes_2_1[[#This Row],[Rôle ou catégorie]]="","",IFERROR(INDEX(Referentiel[[Service]],MATCH(Lignes_2_1[[#This Row],[Rôle ou catégorie]],Referentiel[[Entrée]],0)),"?")&amp;"")</f>
        <v>0</v>
      </c>
      <c r="M32" s="16">
        <f>IF(Lignes_2_1[[#This Row],[Rôle ou catégorie]]="","",IFERROR(INDEX(Referentiel[[Taux horaire]],MATCH(Lignes_2_1[[#This Row],[Rôle ou catégorie]],Referentiel[[Entrée]],0)),"?"))</f>
        <v>0</v>
      </c>
      <c r="N32" s="17">
        <f>IF(Lignes_2_1[[#This Row],[Rôle ou catégorie]]="","",IF(Lignes_2_1[[#This Row],[Type]]="Main-d’œuvre",Lignes_2_1[[#This Row],[Quantité]]*Lignes_2_1[[#This Row],[Heures]],0))</f>
        <v>0</v>
      </c>
      <c r="O32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32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32" s="18">
        <f>IF(Lignes_2_1[[#This Row],[Rôle ou catégorie]]="","",Lignes_2_1[[#This Row],[Main-d’œuvre]]+Lignes_2_1[[#This Row],[Débours]])</f>
        <v>0</v>
      </c>
      <c r="R32" s="18"/>
      <c r="T32" s="16">
        <f>IF(Lignes_2_1[[#This Row],[Rôle ou catégorie]]="","",IFERROR(INDEX(Referentiel[[Type de nature]],MATCH(Lignes_2_1[[#This Row],[Rôle ou catégorie]],Referentiel[[Entrée]],0)),"?"))</f>
        <v>0</v>
      </c>
    </row>
    <row r="33" spans="1:20">
      <c r="A33" s="15"/>
      <c r="B33" s="16">
        <f>IF(Lignes_2_1[[#This Row],[Tâche]]="","",IFERROR(INDEX(Taches[[Description]],MATCH(Lignes_2_1[[#This Row],[Tâche]],Taches[[Entrée]],0)),""))</f>
        <v>0</v>
      </c>
      <c r="C33" s="15"/>
      <c r="D33" s="15"/>
      <c r="I33" s="15"/>
      <c r="J33" s="16">
        <f>IF(Lignes_2_1[[#This Row],[Rôle ou catégorie]]="","",IFERROR(INDEX(Referentiel[[Nature]],MATCH(Lignes_2_1[[#This Row],[Rôle ou catégorie]],Referentiel[[Entrée]],0)),"?"))</f>
        <v>0</v>
      </c>
      <c r="K33" s="16">
        <f>IF(Lignes_2_1[[#This Row],[Rôle ou catégorie]]="","",IFERROR(INDEX(Referentiel[[Code comptable]],MATCH(Lignes_2_1[[#This Row],[Rôle ou catégorie]],Referentiel[[Entrée]],0)),"?"))</f>
        <v>0</v>
      </c>
      <c r="L33" s="16">
        <f>IF(Lignes_2_1[[#This Row],[Rôle ou catégorie]]="","",IFERROR(INDEX(Referentiel[[Service]],MATCH(Lignes_2_1[[#This Row],[Rôle ou catégorie]],Referentiel[[Entrée]],0)),"?")&amp;"")</f>
        <v>0</v>
      </c>
      <c r="M33" s="16">
        <f>IF(Lignes_2_1[[#This Row],[Rôle ou catégorie]]="","",IFERROR(INDEX(Referentiel[[Taux horaire]],MATCH(Lignes_2_1[[#This Row],[Rôle ou catégorie]],Referentiel[[Entrée]],0)),"?"))</f>
        <v>0</v>
      </c>
      <c r="N33" s="17">
        <f>IF(Lignes_2_1[[#This Row],[Rôle ou catégorie]]="","",IF(Lignes_2_1[[#This Row],[Type]]="Main-d’œuvre",Lignes_2_1[[#This Row],[Quantité]]*Lignes_2_1[[#This Row],[Heures]],0))</f>
        <v>0</v>
      </c>
      <c r="O33" s="18">
        <f>IF(Lignes_2_1[[#This Row],[Rôle ou catégorie]]="","",IF(Lignes_2_1[[#This Row],[Type]]="Main-d’œuvre",Lignes_2_1[[#This Row],[Quantité]]*Lignes_2_1[[#This Row],[Heures]]*Lignes_2_1[[#This Row],[Taux horaire]],0))</f>
        <v>0</v>
      </c>
      <c r="P33" s="18">
        <f>IF(Lignes_2_1[[#This Row],[Rôle ou catégorie]]="","",IF(OR(Lignes_2_1[[#This Row],[Type]]="Hors main-d’œuvre",Lignes_2_1[[#This Row],[Type]]="Provision"),Lignes_2_1[[#This Row],[Quantité]]*Lignes_2_1[[#This Row],[Débours unitaire]],0))</f>
        <v>0</v>
      </c>
      <c r="Q33" s="18">
        <f>IF(Lignes_2_1[[#This Row],[Rôle ou catégorie]]="","",Lignes_2_1[[#This Row],[Main-d’œuvre]]+Lignes_2_1[[#This Row],[Débours]])</f>
        <v>0</v>
      </c>
      <c r="R33" s="18"/>
      <c r="T33" s="16">
        <f>IF(Lignes_2_1[[#This Row],[Rôle ou catégorie]]="","",IFERROR(INDEX(Referentiel[[Type de nature]],MATCH(Lignes_2_1[[#This Row],[Rôle ou catégorie]],Referentiel[[Entrée]],0)),"?"))</f>
        <v>0</v>
      </c>
    </row>
    <row r="34" spans="1:20">
      <c r="A34" s="15" t="s">
        <v>140</v>
      </c>
      <c r="N34" s="17">
        <f>SUBTOTAL(109,Lignes_2_1[[Heures totales]])</f>
        <v>0</v>
      </c>
      <c r="O34" s="18">
        <f>SUBTOTAL(109,Lignes_2_1[[Main-d’œuvre]])</f>
        <v>0</v>
      </c>
      <c r="P34" s="18">
        <f>SUBTOTAL(109,Lignes_2_1[[Débours]])</f>
        <v>0</v>
      </c>
      <c r="Q34" s="18">
        <f>SUBTOTAL(109,Lignes_2_1[[Montant]])</f>
        <v>0</v>
      </c>
      <c r="R34" s="18">
        <f>SUBTOTAL(109,Lignes_2_1[[Montant Waterfall]])</f>
        <v>0</v>
      </c>
    </row>
  </sheetData>
  <dataValidations count="3">
    <dataValidation type="list" allowBlank="1" showInputMessage="1" showErrorMessage="1" errorTitle="Tâche" error="Choisis une tâche de cet onglet (onglet Tâches)." sqref="A2:A1001">
      <formula1>'Tâches'!$A$14:$A$16</formula1>
    </dataValidation>
    <dataValidation type="list" allowBlank="1" showInputMessage="1" showErrorMessage="1" errorTitle="Rôle ou catégorie" error="Choisis un rôle ou une catégorie du référentiel." sqref="C2:C1001">
      <formula1>'Paramètres'!$A$5:$A$13</formula1>
    </dataValidation>
    <dataValidation type="list" allowBlank="1" showInputMessage="1" showErrorMessage="1" sqref="I2:I1001">
      <formula1>'Paramètres'!$K$5:$K$6</formula1>
    </dataValidation>
  </dataValidations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T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outlineLevelCol="1"/>
  <cols>
    <col min="1" max="3" width="34.7109375" customWidth="1"/>
    <col min="4" max="4" width="30.7109375" customWidth="1"/>
    <col min="5" max="5" width="10.7109375" customWidth="1"/>
    <col min="6" max="6" width="9.7109375" customWidth="1"/>
    <col min="7" max="7" width="12.7109375" customWidth="1"/>
    <col min="8" max="8" width="11.7109375" customWidth="1"/>
    <col min="9" max="9" width="12.7109375" customWidth="1"/>
    <col min="10" max="10" width="18.7109375" customWidth="1"/>
    <col min="11" max="11" width="11.7109375" customWidth="1"/>
    <col min="12" max="12" width="22.7109375" customWidth="1"/>
    <col min="13" max="13" width="9.7109375" customWidth="1"/>
    <col min="14" max="14" width="10.7109375" customWidth="1"/>
    <col min="15" max="17" width="13.7109375" customWidth="1"/>
    <col min="18" max="18" width="14.7109375" customWidth="1"/>
    <col min="19" max="19" width="10.7109375" hidden="1" customWidth="1" outlineLevel="1"/>
    <col min="20" max="20" width="14.7109375" hidden="1" customWidth="1" outlineLevel="1"/>
  </cols>
  <sheetData>
    <row r="1" spans="1:20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7</v>
      </c>
      <c r="K1" t="s">
        <v>9</v>
      </c>
      <c r="L1" t="s">
        <v>6</v>
      </c>
      <c r="M1" t="s">
        <v>10</v>
      </c>
      <c r="N1" t="s">
        <v>150</v>
      </c>
      <c r="O1" t="s">
        <v>16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</row>
    <row r="2" spans="1:20">
      <c r="A2" s="15" t="s">
        <v>134</v>
      </c>
      <c r="B2" s="16">
        <f>IF(Lignes_hors_lot[[#This Row],[Tâche]]="","",IFERROR(INDEX(Taches[[Description]],MATCH(Lignes_hors_lot[[#This Row],[Tâche]],Taches[[Entrée]],0)),""))</f>
        <v>0</v>
      </c>
      <c r="C2" s="15" t="s">
        <v>11</v>
      </c>
      <c r="D2" s="15" t="s">
        <v>170</v>
      </c>
      <c r="E2">
        <v>20</v>
      </c>
      <c r="F2">
        <v>7.4</v>
      </c>
      <c r="H2">
        <v>0</v>
      </c>
      <c r="I2" s="15"/>
      <c r="J2" s="16">
        <f>IF(Lignes_hors_lot[[#This Row],[Rôle ou catégorie]]="","",IFERROR(INDEX(Referentiel[[Nature]],MATCH(Lignes_hors_lot[[#This Row],[Rôle ou catégorie]],Referentiel[[Entrée]],0)),"?"))</f>
        <v>0</v>
      </c>
      <c r="K2" s="16">
        <f>IF(Lignes_hors_lot[[#This Row],[Rôle ou catégorie]]="","",IFERROR(INDEX(Referentiel[[Code comptable]],MATCH(Lignes_hors_lot[[#This Row],[Rôle ou catégorie]],Referentiel[[Entrée]],0)),"?"))</f>
        <v>0</v>
      </c>
      <c r="L2" s="16">
        <f>IF(Lignes_hors_lot[[#This Row],[Rôle ou catégorie]]="","",IFERROR(INDEX(Referentiel[[Service]],MATCH(Lignes_hors_lot[[#This Row],[Rôle ou catégorie]],Referentiel[[Entrée]],0)),"?")&amp;"")</f>
        <v>0</v>
      </c>
      <c r="M2" s="16">
        <f>IF(Lignes_hors_lot[[#This Row],[Rôle ou catégorie]]="","",IFERROR(INDEX(Referentiel[[Taux horaire]],MATCH(Lignes_hors_lot[[#This Row],[Rôle ou catégorie]],Referentiel[[Entrée]],0)),"?"))</f>
        <v>0</v>
      </c>
      <c r="N2" s="17">
        <f>IF(Lignes_hors_lot[[#This Row],[Rôle ou catégorie]]="","",IF(Lignes_hors_lot[[#This Row],[Type]]="Main-d’œuvre",Lignes_hors_lot[[#This Row],[Quantité]]*Lignes_hors_lot[[#This Row],[Heures]],0))</f>
        <v>0</v>
      </c>
      <c r="O2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" s="18">
        <f>IF(Lignes_hors_lot[[#This Row],[Rôle ou catégorie]]="","",Lignes_hors_lot[[#This Row],[Main-d’œuvre]]+Lignes_hors_lot[[#This Row],[Débours]])</f>
        <v>0</v>
      </c>
      <c r="R2" s="18">
        <v>14948</v>
      </c>
      <c r="S2" t="s">
        <v>171</v>
      </c>
      <c r="T2" s="16">
        <f>IF(Lignes_hors_lot[[#This Row],[Rôle ou catégorie]]="","",IFERROR(INDEX(Referentiel[[Type de nature]],MATCH(Lignes_hors_lot[[#This Row],[Rôle ou catégorie]],Referentiel[[Entrée]],0)),"?"))</f>
        <v>0</v>
      </c>
    </row>
    <row r="3" spans="1:20">
      <c r="A3" s="15"/>
      <c r="B3" s="16">
        <f>IF(Lignes_hors_lot[[#This Row],[Tâche]]="","",IFERROR(INDEX(Taches[[Description]],MATCH(Lignes_hors_lot[[#This Row],[Tâche]],Taches[[Entrée]],0)),""))</f>
        <v>0</v>
      </c>
      <c r="C3" s="15"/>
      <c r="D3" s="15"/>
      <c r="I3" s="15"/>
      <c r="J3" s="16">
        <f>IF(Lignes_hors_lot[[#This Row],[Rôle ou catégorie]]="","",IFERROR(INDEX(Referentiel[[Nature]],MATCH(Lignes_hors_lot[[#This Row],[Rôle ou catégorie]],Referentiel[[Entrée]],0)),"?"))</f>
        <v>0</v>
      </c>
      <c r="K3" s="16">
        <f>IF(Lignes_hors_lot[[#This Row],[Rôle ou catégorie]]="","",IFERROR(INDEX(Referentiel[[Code comptable]],MATCH(Lignes_hors_lot[[#This Row],[Rôle ou catégorie]],Referentiel[[Entrée]],0)),"?"))</f>
        <v>0</v>
      </c>
      <c r="L3" s="16">
        <f>IF(Lignes_hors_lot[[#This Row],[Rôle ou catégorie]]="","",IFERROR(INDEX(Referentiel[[Service]],MATCH(Lignes_hors_lot[[#This Row],[Rôle ou catégorie]],Referentiel[[Entrée]],0)),"?")&amp;"")</f>
        <v>0</v>
      </c>
      <c r="M3" s="16">
        <f>IF(Lignes_hors_lot[[#This Row],[Rôle ou catégorie]]="","",IFERROR(INDEX(Referentiel[[Taux horaire]],MATCH(Lignes_hors_lot[[#This Row],[Rôle ou catégorie]],Referentiel[[Entrée]],0)),"?"))</f>
        <v>0</v>
      </c>
      <c r="N3" s="17">
        <f>IF(Lignes_hors_lot[[#This Row],[Rôle ou catégorie]]="","",IF(Lignes_hors_lot[[#This Row],[Type]]="Main-d’œuvre",Lignes_hors_lot[[#This Row],[Quantité]]*Lignes_hors_lot[[#This Row],[Heures]],0))</f>
        <v>0</v>
      </c>
      <c r="O3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3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3" s="18">
        <f>IF(Lignes_hors_lot[[#This Row],[Rôle ou catégorie]]="","",Lignes_hors_lot[[#This Row],[Main-d’œuvre]]+Lignes_hors_lot[[#This Row],[Débours]])</f>
        <v>0</v>
      </c>
      <c r="R3" s="18"/>
      <c r="T3" s="16">
        <f>IF(Lignes_hors_lot[[#This Row],[Rôle ou catégorie]]="","",IFERROR(INDEX(Referentiel[[Type de nature]],MATCH(Lignes_hors_lot[[#This Row],[Rôle ou catégorie]],Referentiel[[Entrée]],0)),"?"))</f>
        <v>0</v>
      </c>
    </row>
    <row r="4" spans="1:20">
      <c r="A4" s="15"/>
      <c r="B4" s="16">
        <f>IF(Lignes_hors_lot[[#This Row],[Tâche]]="","",IFERROR(INDEX(Taches[[Description]],MATCH(Lignes_hors_lot[[#This Row],[Tâche]],Taches[[Entrée]],0)),""))</f>
        <v>0</v>
      </c>
      <c r="C4" s="15"/>
      <c r="D4" s="15"/>
      <c r="I4" s="15"/>
      <c r="J4" s="16">
        <f>IF(Lignes_hors_lot[[#This Row],[Rôle ou catégorie]]="","",IFERROR(INDEX(Referentiel[[Nature]],MATCH(Lignes_hors_lot[[#This Row],[Rôle ou catégorie]],Referentiel[[Entrée]],0)),"?"))</f>
        <v>0</v>
      </c>
      <c r="K4" s="16">
        <f>IF(Lignes_hors_lot[[#This Row],[Rôle ou catégorie]]="","",IFERROR(INDEX(Referentiel[[Code comptable]],MATCH(Lignes_hors_lot[[#This Row],[Rôle ou catégorie]],Referentiel[[Entrée]],0)),"?"))</f>
        <v>0</v>
      </c>
      <c r="L4" s="16">
        <f>IF(Lignes_hors_lot[[#This Row],[Rôle ou catégorie]]="","",IFERROR(INDEX(Referentiel[[Service]],MATCH(Lignes_hors_lot[[#This Row],[Rôle ou catégorie]],Referentiel[[Entrée]],0)),"?")&amp;"")</f>
        <v>0</v>
      </c>
      <c r="M4" s="16">
        <f>IF(Lignes_hors_lot[[#This Row],[Rôle ou catégorie]]="","",IFERROR(INDEX(Referentiel[[Taux horaire]],MATCH(Lignes_hors_lot[[#This Row],[Rôle ou catégorie]],Referentiel[[Entrée]],0)),"?"))</f>
        <v>0</v>
      </c>
      <c r="N4" s="17">
        <f>IF(Lignes_hors_lot[[#This Row],[Rôle ou catégorie]]="","",IF(Lignes_hors_lot[[#This Row],[Type]]="Main-d’œuvre",Lignes_hors_lot[[#This Row],[Quantité]]*Lignes_hors_lot[[#This Row],[Heures]],0))</f>
        <v>0</v>
      </c>
      <c r="O4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4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4" s="18">
        <f>IF(Lignes_hors_lot[[#This Row],[Rôle ou catégorie]]="","",Lignes_hors_lot[[#This Row],[Main-d’œuvre]]+Lignes_hors_lot[[#This Row],[Débours]])</f>
        <v>0</v>
      </c>
      <c r="R4" s="18"/>
      <c r="T4" s="16">
        <f>IF(Lignes_hors_lot[[#This Row],[Rôle ou catégorie]]="","",IFERROR(INDEX(Referentiel[[Type de nature]],MATCH(Lignes_hors_lot[[#This Row],[Rôle ou catégorie]],Referentiel[[Entrée]],0)),"?"))</f>
        <v>0</v>
      </c>
    </row>
    <row r="5" spans="1:20">
      <c r="A5" s="15"/>
      <c r="B5" s="16">
        <f>IF(Lignes_hors_lot[[#This Row],[Tâche]]="","",IFERROR(INDEX(Taches[[Description]],MATCH(Lignes_hors_lot[[#This Row],[Tâche]],Taches[[Entrée]],0)),""))</f>
        <v>0</v>
      </c>
      <c r="C5" s="15"/>
      <c r="D5" s="15"/>
      <c r="I5" s="15"/>
      <c r="J5" s="16">
        <f>IF(Lignes_hors_lot[[#This Row],[Rôle ou catégorie]]="","",IFERROR(INDEX(Referentiel[[Nature]],MATCH(Lignes_hors_lot[[#This Row],[Rôle ou catégorie]],Referentiel[[Entrée]],0)),"?"))</f>
        <v>0</v>
      </c>
      <c r="K5" s="16">
        <f>IF(Lignes_hors_lot[[#This Row],[Rôle ou catégorie]]="","",IFERROR(INDEX(Referentiel[[Code comptable]],MATCH(Lignes_hors_lot[[#This Row],[Rôle ou catégorie]],Referentiel[[Entrée]],0)),"?"))</f>
        <v>0</v>
      </c>
      <c r="L5" s="16">
        <f>IF(Lignes_hors_lot[[#This Row],[Rôle ou catégorie]]="","",IFERROR(INDEX(Referentiel[[Service]],MATCH(Lignes_hors_lot[[#This Row],[Rôle ou catégorie]],Referentiel[[Entrée]],0)),"?")&amp;"")</f>
        <v>0</v>
      </c>
      <c r="M5" s="16">
        <f>IF(Lignes_hors_lot[[#This Row],[Rôle ou catégorie]]="","",IFERROR(INDEX(Referentiel[[Taux horaire]],MATCH(Lignes_hors_lot[[#This Row],[Rôle ou catégorie]],Referentiel[[Entrée]],0)),"?"))</f>
        <v>0</v>
      </c>
      <c r="N5" s="17">
        <f>IF(Lignes_hors_lot[[#This Row],[Rôle ou catégorie]]="","",IF(Lignes_hors_lot[[#This Row],[Type]]="Main-d’œuvre",Lignes_hors_lot[[#This Row],[Quantité]]*Lignes_hors_lot[[#This Row],[Heures]],0))</f>
        <v>0</v>
      </c>
      <c r="O5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5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5" s="18">
        <f>IF(Lignes_hors_lot[[#This Row],[Rôle ou catégorie]]="","",Lignes_hors_lot[[#This Row],[Main-d’œuvre]]+Lignes_hors_lot[[#This Row],[Débours]])</f>
        <v>0</v>
      </c>
      <c r="R5" s="18"/>
      <c r="T5" s="16">
        <f>IF(Lignes_hors_lot[[#This Row],[Rôle ou catégorie]]="","",IFERROR(INDEX(Referentiel[[Type de nature]],MATCH(Lignes_hors_lot[[#This Row],[Rôle ou catégorie]],Referentiel[[Entrée]],0)),"?"))</f>
        <v>0</v>
      </c>
    </row>
    <row r="6" spans="1:20">
      <c r="A6" s="15"/>
      <c r="B6" s="16">
        <f>IF(Lignes_hors_lot[[#This Row],[Tâche]]="","",IFERROR(INDEX(Taches[[Description]],MATCH(Lignes_hors_lot[[#This Row],[Tâche]],Taches[[Entrée]],0)),""))</f>
        <v>0</v>
      </c>
      <c r="C6" s="15"/>
      <c r="D6" s="15"/>
      <c r="I6" s="15"/>
      <c r="J6" s="16">
        <f>IF(Lignes_hors_lot[[#This Row],[Rôle ou catégorie]]="","",IFERROR(INDEX(Referentiel[[Nature]],MATCH(Lignes_hors_lot[[#This Row],[Rôle ou catégorie]],Referentiel[[Entrée]],0)),"?"))</f>
        <v>0</v>
      </c>
      <c r="K6" s="16">
        <f>IF(Lignes_hors_lot[[#This Row],[Rôle ou catégorie]]="","",IFERROR(INDEX(Referentiel[[Code comptable]],MATCH(Lignes_hors_lot[[#This Row],[Rôle ou catégorie]],Referentiel[[Entrée]],0)),"?"))</f>
        <v>0</v>
      </c>
      <c r="L6" s="16">
        <f>IF(Lignes_hors_lot[[#This Row],[Rôle ou catégorie]]="","",IFERROR(INDEX(Referentiel[[Service]],MATCH(Lignes_hors_lot[[#This Row],[Rôle ou catégorie]],Referentiel[[Entrée]],0)),"?")&amp;"")</f>
        <v>0</v>
      </c>
      <c r="M6" s="16">
        <f>IF(Lignes_hors_lot[[#This Row],[Rôle ou catégorie]]="","",IFERROR(INDEX(Referentiel[[Taux horaire]],MATCH(Lignes_hors_lot[[#This Row],[Rôle ou catégorie]],Referentiel[[Entrée]],0)),"?"))</f>
        <v>0</v>
      </c>
      <c r="N6" s="17">
        <f>IF(Lignes_hors_lot[[#This Row],[Rôle ou catégorie]]="","",IF(Lignes_hors_lot[[#This Row],[Type]]="Main-d’œuvre",Lignes_hors_lot[[#This Row],[Quantité]]*Lignes_hors_lot[[#This Row],[Heures]],0))</f>
        <v>0</v>
      </c>
      <c r="O6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6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6" s="18">
        <f>IF(Lignes_hors_lot[[#This Row],[Rôle ou catégorie]]="","",Lignes_hors_lot[[#This Row],[Main-d’œuvre]]+Lignes_hors_lot[[#This Row],[Débours]])</f>
        <v>0</v>
      </c>
      <c r="R6" s="18"/>
      <c r="T6" s="16">
        <f>IF(Lignes_hors_lot[[#This Row],[Rôle ou catégorie]]="","",IFERROR(INDEX(Referentiel[[Type de nature]],MATCH(Lignes_hors_lot[[#This Row],[Rôle ou catégorie]],Referentiel[[Entrée]],0)),"?"))</f>
        <v>0</v>
      </c>
    </row>
    <row r="7" spans="1:20">
      <c r="A7" s="15"/>
      <c r="B7" s="16">
        <f>IF(Lignes_hors_lot[[#This Row],[Tâche]]="","",IFERROR(INDEX(Taches[[Description]],MATCH(Lignes_hors_lot[[#This Row],[Tâche]],Taches[[Entrée]],0)),""))</f>
        <v>0</v>
      </c>
      <c r="C7" s="15"/>
      <c r="D7" s="15"/>
      <c r="I7" s="15"/>
      <c r="J7" s="16">
        <f>IF(Lignes_hors_lot[[#This Row],[Rôle ou catégorie]]="","",IFERROR(INDEX(Referentiel[[Nature]],MATCH(Lignes_hors_lot[[#This Row],[Rôle ou catégorie]],Referentiel[[Entrée]],0)),"?"))</f>
        <v>0</v>
      </c>
      <c r="K7" s="16">
        <f>IF(Lignes_hors_lot[[#This Row],[Rôle ou catégorie]]="","",IFERROR(INDEX(Referentiel[[Code comptable]],MATCH(Lignes_hors_lot[[#This Row],[Rôle ou catégorie]],Referentiel[[Entrée]],0)),"?"))</f>
        <v>0</v>
      </c>
      <c r="L7" s="16">
        <f>IF(Lignes_hors_lot[[#This Row],[Rôle ou catégorie]]="","",IFERROR(INDEX(Referentiel[[Service]],MATCH(Lignes_hors_lot[[#This Row],[Rôle ou catégorie]],Referentiel[[Entrée]],0)),"?")&amp;"")</f>
        <v>0</v>
      </c>
      <c r="M7" s="16">
        <f>IF(Lignes_hors_lot[[#This Row],[Rôle ou catégorie]]="","",IFERROR(INDEX(Referentiel[[Taux horaire]],MATCH(Lignes_hors_lot[[#This Row],[Rôle ou catégorie]],Referentiel[[Entrée]],0)),"?"))</f>
        <v>0</v>
      </c>
      <c r="N7" s="17">
        <f>IF(Lignes_hors_lot[[#This Row],[Rôle ou catégorie]]="","",IF(Lignes_hors_lot[[#This Row],[Type]]="Main-d’œuvre",Lignes_hors_lot[[#This Row],[Quantité]]*Lignes_hors_lot[[#This Row],[Heures]],0))</f>
        <v>0</v>
      </c>
      <c r="O7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7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7" s="18">
        <f>IF(Lignes_hors_lot[[#This Row],[Rôle ou catégorie]]="","",Lignes_hors_lot[[#This Row],[Main-d’œuvre]]+Lignes_hors_lot[[#This Row],[Débours]])</f>
        <v>0</v>
      </c>
      <c r="R7" s="18"/>
      <c r="T7" s="16">
        <f>IF(Lignes_hors_lot[[#This Row],[Rôle ou catégorie]]="","",IFERROR(INDEX(Referentiel[[Type de nature]],MATCH(Lignes_hors_lot[[#This Row],[Rôle ou catégorie]],Referentiel[[Entrée]],0)),"?"))</f>
        <v>0</v>
      </c>
    </row>
    <row r="8" spans="1:20">
      <c r="A8" s="15"/>
      <c r="B8" s="16">
        <f>IF(Lignes_hors_lot[[#This Row],[Tâche]]="","",IFERROR(INDEX(Taches[[Description]],MATCH(Lignes_hors_lot[[#This Row],[Tâche]],Taches[[Entrée]],0)),""))</f>
        <v>0</v>
      </c>
      <c r="C8" s="15"/>
      <c r="D8" s="15"/>
      <c r="I8" s="15"/>
      <c r="J8" s="16">
        <f>IF(Lignes_hors_lot[[#This Row],[Rôle ou catégorie]]="","",IFERROR(INDEX(Referentiel[[Nature]],MATCH(Lignes_hors_lot[[#This Row],[Rôle ou catégorie]],Referentiel[[Entrée]],0)),"?"))</f>
        <v>0</v>
      </c>
      <c r="K8" s="16">
        <f>IF(Lignes_hors_lot[[#This Row],[Rôle ou catégorie]]="","",IFERROR(INDEX(Referentiel[[Code comptable]],MATCH(Lignes_hors_lot[[#This Row],[Rôle ou catégorie]],Referentiel[[Entrée]],0)),"?"))</f>
        <v>0</v>
      </c>
      <c r="L8" s="16">
        <f>IF(Lignes_hors_lot[[#This Row],[Rôle ou catégorie]]="","",IFERROR(INDEX(Referentiel[[Service]],MATCH(Lignes_hors_lot[[#This Row],[Rôle ou catégorie]],Referentiel[[Entrée]],0)),"?")&amp;"")</f>
        <v>0</v>
      </c>
      <c r="M8" s="16">
        <f>IF(Lignes_hors_lot[[#This Row],[Rôle ou catégorie]]="","",IFERROR(INDEX(Referentiel[[Taux horaire]],MATCH(Lignes_hors_lot[[#This Row],[Rôle ou catégorie]],Referentiel[[Entrée]],0)),"?"))</f>
        <v>0</v>
      </c>
      <c r="N8" s="17">
        <f>IF(Lignes_hors_lot[[#This Row],[Rôle ou catégorie]]="","",IF(Lignes_hors_lot[[#This Row],[Type]]="Main-d’œuvre",Lignes_hors_lot[[#This Row],[Quantité]]*Lignes_hors_lot[[#This Row],[Heures]],0))</f>
        <v>0</v>
      </c>
      <c r="O8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8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8" s="18">
        <f>IF(Lignes_hors_lot[[#This Row],[Rôle ou catégorie]]="","",Lignes_hors_lot[[#This Row],[Main-d’œuvre]]+Lignes_hors_lot[[#This Row],[Débours]])</f>
        <v>0</v>
      </c>
      <c r="R8" s="18"/>
      <c r="T8" s="16">
        <f>IF(Lignes_hors_lot[[#This Row],[Rôle ou catégorie]]="","",IFERROR(INDEX(Referentiel[[Type de nature]],MATCH(Lignes_hors_lot[[#This Row],[Rôle ou catégorie]],Referentiel[[Entrée]],0)),"?"))</f>
        <v>0</v>
      </c>
    </row>
    <row r="9" spans="1:20">
      <c r="A9" s="15"/>
      <c r="B9" s="16">
        <f>IF(Lignes_hors_lot[[#This Row],[Tâche]]="","",IFERROR(INDEX(Taches[[Description]],MATCH(Lignes_hors_lot[[#This Row],[Tâche]],Taches[[Entrée]],0)),""))</f>
        <v>0</v>
      </c>
      <c r="C9" s="15"/>
      <c r="D9" s="15"/>
      <c r="I9" s="15"/>
      <c r="J9" s="16">
        <f>IF(Lignes_hors_lot[[#This Row],[Rôle ou catégorie]]="","",IFERROR(INDEX(Referentiel[[Nature]],MATCH(Lignes_hors_lot[[#This Row],[Rôle ou catégorie]],Referentiel[[Entrée]],0)),"?"))</f>
        <v>0</v>
      </c>
      <c r="K9" s="16">
        <f>IF(Lignes_hors_lot[[#This Row],[Rôle ou catégorie]]="","",IFERROR(INDEX(Referentiel[[Code comptable]],MATCH(Lignes_hors_lot[[#This Row],[Rôle ou catégorie]],Referentiel[[Entrée]],0)),"?"))</f>
        <v>0</v>
      </c>
      <c r="L9" s="16">
        <f>IF(Lignes_hors_lot[[#This Row],[Rôle ou catégorie]]="","",IFERROR(INDEX(Referentiel[[Service]],MATCH(Lignes_hors_lot[[#This Row],[Rôle ou catégorie]],Referentiel[[Entrée]],0)),"?")&amp;"")</f>
        <v>0</v>
      </c>
      <c r="M9" s="16">
        <f>IF(Lignes_hors_lot[[#This Row],[Rôle ou catégorie]]="","",IFERROR(INDEX(Referentiel[[Taux horaire]],MATCH(Lignes_hors_lot[[#This Row],[Rôle ou catégorie]],Referentiel[[Entrée]],0)),"?"))</f>
        <v>0</v>
      </c>
      <c r="N9" s="17">
        <f>IF(Lignes_hors_lot[[#This Row],[Rôle ou catégorie]]="","",IF(Lignes_hors_lot[[#This Row],[Type]]="Main-d’œuvre",Lignes_hors_lot[[#This Row],[Quantité]]*Lignes_hors_lot[[#This Row],[Heures]],0))</f>
        <v>0</v>
      </c>
      <c r="O9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9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9" s="18">
        <f>IF(Lignes_hors_lot[[#This Row],[Rôle ou catégorie]]="","",Lignes_hors_lot[[#This Row],[Main-d’œuvre]]+Lignes_hors_lot[[#This Row],[Débours]])</f>
        <v>0</v>
      </c>
      <c r="R9" s="18"/>
      <c r="T9" s="16">
        <f>IF(Lignes_hors_lot[[#This Row],[Rôle ou catégorie]]="","",IFERROR(INDEX(Referentiel[[Type de nature]],MATCH(Lignes_hors_lot[[#This Row],[Rôle ou catégorie]],Referentiel[[Entrée]],0)),"?"))</f>
        <v>0</v>
      </c>
    </row>
    <row r="10" spans="1:20">
      <c r="A10" s="15"/>
      <c r="B10" s="16">
        <f>IF(Lignes_hors_lot[[#This Row],[Tâche]]="","",IFERROR(INDEX(Taches[[Description]],MATCH(Lignes_hors_lot[[#This Row],[Tâche]],Taches[[Entrée]],0)),""))</f>
        <v>0</v>
      </c>
      <c r="C10" s="15"/>
      <c r="D10" s="15"/>
      <c r="I10" s="15"/>
      <c r="J10" s="16">
        <f>IF(Lignes_hors_lot[[#This Row],[Rôle ou catégorie]]="","",IFERROR(INDEX(Referentiel[[Nature]],MATCH(Lignes_hors_lot[[#This Row],[Rôle ou catégorie]],Referentiel[[Entrée]],0)),"?"))</f>
        <v>0</v>
      </c>
      <c r="K10" s="16">
        <f>IF(Lignes_hors_lot[[#This Row],[Rôle ou catégorie]]="","",IFERROR(INDEX(Referentiel[[Code comptable]],MATCH(Lignes_hors_lot[[#This Row],[Rôle ou catégorie]],Referentiel[[Entrée]],0)),"?"))</f>
        <v>0</v>
      </c>
      <c r="L10" s="16">
        <f>IF(Lignes_hors_lot[[#This Row],[Rôle ou catégorie]]="","",IFERROR(INDEX(Referentiel[[Service]],MATCH(Lignes_hors_lot[[#This Row],[Rôle ou catégorie]],Referentiel[[Entrée]],0)),"?")&amp;"")</f>
        <v>0</v>
      </c>
      <c r="M10" s="16">
        <f>IF(Lignes_hors_lot[[#This Row],[Rôle ou catégorie]]="","",IFERROR(INDEX(Referentiel[[Taux horaire]],MATCH(Lignes_hors_lot[[#This Row],[Rôle ou catégorie]],Referentiel[[Entrée]],0)),"?"))</f>
        <v>0</v>
      </c>
      <c r="N10" s="17">
        <f>IF(Lignes_hors_lot[[#This Row],[Rôle ou catégorie]]="","",IF(Lignes_hors_lot[[#This Row],[Type]]="Main-d’œuvre",Lignes_hors_lot[[#This Row],[Quantité]]*Lignes_hors_lot[[#This Row],[Heures]],0))</f>
        <v>0</v>
      </c>
      <c r="O10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0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0" s="18">
        <f>IF(Lignes_hors_lot[[#This Row],[Rôle ou catégorie]]="","",Lignes_hors_lot[[#This Row],[Main-d’œuvre]]+Lignes_hors_lot[[#This Row],[Débours]])</f>
        <v>0</v>
      </c>
      <c r="R10" s="18"/>
      <c r="T10" s="16">
        <f>IF(Lignes_hors_lot[[#This Row],[Rôle ou catégorie]]="","",IFERROR(INDEX(Referentiel[[Type de nature]],MATCH(Lignes_hors_lot[[#This Row],[Rôle ou catégorie]],Referentiel[[Entrée]],0)),"?"))</f>
        <v>0</v>
      </c>
    </row>
    <row r="11" spans="1:20">
      <c r="A11" s="15"/>
      <c r="B11" s="16">
        <f>IF(Lignes_hors_lot[[#This Row],[Tâche]]="","",IFERROR(INDEX(Taches[[Description]],MATCH(Lignes_hors_lot[[#This Row],[Tâche]],Taches[[Entrée]],0)),""))</f>
        <v>0</v>
      </c>
      <c r="C11" s="15"/>
      <c r="D11" s="15"/>
      <c r="I11" s="15"/>
      <c r="J11" s="16">
        <f>IF(Lignes_hors_lot[[#This Row],[Rôle ou catégorie]]="","",IFERROR(INDEX(Referentiel[[Nature]],MATCH(Lignes_hors_lot[[#This Row],[Rôle ou catégorie]],Referentiel[[Entrée]],0)),"?"))</f>
        <v>0</v>
      </c>
      <c r="K11" s="16">
        <f>IF(Lignes_hors_lot[[#This Row],[Rôle ou catégorie]]="","",IFERROR(INDEX(Referentiel[[Code comptable]],MATCH(Lignes_hors_lot[[#This Row],[Rôle ou catégorie]],Referentiel[[Entrée]],0)),"?"))</f>
        <v>0</v>
      </c>
      <c r="L11" s="16">
        <f>IF(Lignes_hors_lot[[#This Row],[Rôle ou catégorie]]="","",IFERROR(INDEX(Referentiel[[Service]],MATCH(Lignes_hors_lot[[#This Row],[Rôle ou catégorie]],Referentiel[[Entrée]],0)),"?")&amp;"")</f>
        <v>0</v>
      </c>
      <c r="M11" s="16">
        <f>IF(Lignes_hors_lot[[#This Row],[Rôle ou catégorie]]="","",IFERROR(INDEX(Referentiel[[Taux horaire]],MATCH(Lignes_hors_lot[[#This Row],[Rôle ou catégorie]],Referentiel[[Entrée]],0)),"?"))</f>
        <v>0</v>
      </c>
      <c r="N11" s="17">
        <f>IF(Lignes_hors_lot[[#This Row],[Rôle ou catégorie]]="","",IF(Lignes_hors_lot[[#This Row],[Type]]="Main-d’œuvre",Lignes_hors_lot[[#This Row],[Quantité]]*Lignes_hors_lot[[#This Row],[Heures]],0))</f>
        <v>0</v>
      </c>
      <c r="O11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1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1" s="18">
        <f>IF(Lignes_hors_lot[[#This Row],[Rôle ou catégorie]]="","",Lignes_hors_lot[[#This Row],[Main-d’œuvre]]+Lignes_hors_lot[[#This Row],[Débours]])</f>
        <v>0</v>
      </c>
      <c r="R11" s="18"/>
      <c r="T11" s="16">
        <f>IF(Lignes_hors_lot[[#This Row],[Rôle ou catégorie]]="","",IFERROR(INDEX(Referentiel[[Type de nature]],MATCH(Lignes_hors_lot[[#This Row],[Rôle ou catégorie]],Referentiel[[Entrée]],0)),"?"))</f>
        <v>0</v>
      </c>
    </row>
    <row r="12" spans="1:20">
      <c r="A12" s="15"/>
      <c r="B12" s="16">
        <f>IF(Lignes_hors_lot[[#This Row],[Tâche]]="","",IFERROR(INDEX(Taches[[Description]],MATCH(Lignes_hors_lot[[#This Row],[Tâche]],Taches[[Entrée]],0)),""))</f>
        <v>0</v>
      </c>
      <c r="C12" s="15"/>
      <c r="D12" s="15"/>
      <c r="I12" s="15"/>
      <c r="J12" s="16">
        <f>IF(Lignes_hors_lot[[#This Row],[Rôle ou catégorie]]="","",IFERROR(INDEX(Referentiel[[Nature]],MATCH(Lignes_hors_lot[[#This Row],[Rôle ou catégorie]],Referentiel[[Entrée]],0)),"?"))</f>
        <v>0</v>
      </c>
      <c r="K12" s="16">
        <f>IF(Lignes_hors_lot[[#This Row],[Rôle ou catégorie]]="","",IFERROR(INDEX(Referentiel[[Code comptable]],MATCH(Lignes_hors_lot[[#This Row],[Rôle ou catégorie]],Referentiel[[Entrée]],0)),"?"))</f>
        <v>0</v>
      </c>
      <c r="L12" s="16">
        <f>IF(Lignes_hors_lot[[#This Row],[Rôle ou catégorie]]="","",IFERROR(INDEX(Referentiel[[Service]],MATCH(Lignes_hors_lot[[#This Row],[Rôle ou catégorie]],Referentiel[[Entrée]],0)),"?")&amp;"")</f>
        <v>0</v>
      </c>
      <c r="M12" s="16">
        <f>IF(Lignes_hors_lot[[#This Row],[Rôle ou catégorie]]="","",IFERROR(INDEX(Referentiel[[Taux horaire]],MATCH(Lignes_hors_lot[[#This Row],[Rôle ou catégorie]],Referentiel[[Entrée]],0)),"?"))</f>
        <v>0</v>
      </c>
      <c r="N12" s="17">
        <f>IF(Lignes_hors_lot[[#This Row],[Rôle ou catégorie]]="","",IF(Lignes_hors_lot[[#This Row],[Type]]="Main-d’œuvre",Lignes_hors_lot[[#This Row],[Quantité]]*Lignes_hors_lot[[#This Row],[Heures]],0))</f>
        <v>0</v>
      </c>
      <c r="O12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2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2" s="18">
        <f>IF(Lignes_hors_lot[[#This Row],[Rôle ou catégorie]]="","",Lignes_hors_lot[[#This Row],[Main-d’œuvre]]+Lignes_hors_lot[[#This Row],[Débours]])</f>
        <v>0</v>
      </c>
      <c r="R12" s="18"/>
      <c r="T12" s="16">
        <f>IF(Lignes_hors_lot[[#This Row],[Rôle ou catégorie]]="","",IFERROR(INDEX(Referentiel[[Type de nature]],MATCH(Lignes_hors_lot[[#This Row],[Rôle ou catégorie]],Referentiel[[Entrée]],0)),"?"))</f>
        <v>0</v>
      </c>
    </row>
    <row r="13" spans="1:20">
      <c r="A13" s="15"/>
      <c r="B13" s="16">
        <f>IF(Lignes_hors_lot[[#This Row],[Tâche]]="","",IFERROR(INDEX(Taches[[Description]],MATCH(Lignes_hors_lot[[#This Row],[Tâche]],Taches[[Entrée]],0)),""))</f>
        <v>0</v>
      </c>
      <c r="C13" s="15"/>
      <c r="D13" s="15"/>
      <c r="I13" s="15"/>
      <c r="J13" s="16">
        <f>IF(Lignes_hors_lot[[#This Row],[Rôle ou catégorie]]="","",IFERROR(INDEX(Referentiel[[Nature]],MATCH(Lignes_hors_lot[[#This Row],[Rôle ou catégorie]],Referentiel[[Entrée]],0)),"?"))</f>
        <v>0</v>
      </c>
      <c r="K13" s="16">
        <f>IF(Lignes_hors_lot[[#This Row],[Rôle ou catégorie]]="","",IFERROR(INDEX(Referentiel[[Code comptable]],MATCH(Lignes_hors_lot[[#This Row],[Rôle ou catégorie]],Referentiel[[Entrée]],0)),"?"))</f>
        <v>0</v>
      </c>
      <c r="L13" s="16">
        <f>IF(Lignes_hors_lot[[#This Row],[Rôle ou catégorie]]="","",IFERROR(INDEX(Referentiel[[Service]],MATCH(Lignes_hors_lot[[#This Row],[Rôle ou catégorie]],Referentiel[[Entrée]],0)),"?")&amp;"")</f>
        <v>0</v>
      </c>
      <c r="M13" s="16">
        <f>IF(Lignes_hors_lot[[#This Row],[Rôle ou catégorie]]="","",IFERROR(INDEX(Referentiel[[Taux horaire]],MATCH(Lignes_hors_lot[[#This Row],[Rôle ou catégorie]],Referentiel[[Entrée]],0)),"?"))</f>
        <v>0</v>
      </c>
      <c r="N13" s="17">
        <f>IF(Lignes_hors_lot[[#This Row],[Rôle ou catégorie]]="","",IF(Lignes_hors_lot[[#This Row],[Type]]="Main-d’œuvre",Lignes_hors_lot[[#This Row],[Quantité]]*Lignes_hors_lot[[#This Row],[Heures]],0))</f>
        <v>0</v>
      </c>
      <c r="O13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3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3" s="18">
        <f>IF(Lignes_hors_lot[[#This Row],[Rôle ou catégorie]]="","",Lignes_hors_lot[[#This Row],[Main-d’œuvre]]+Lignes_hors_lot[[#This Row],[Débours]])</f>
        <v>0</v>
      </c>
      <c r="R13" s="18"/>
      <c r="T13" s="16">
        <f>IF(Lignes_hors_lot[[#This Row],[Rôle ou catégorie]]="","",IFERROR(INDEX(Referentiel[[Type de nature]],MATCH(Lignes_hors_lot[[#This Row],[Rôle ou catégorie]],Referentiel[[Entrée]],0)),"?"))</f>
        <v>0</v>
      </c>
    </row>
    <row r="14" spans="1:20">
      <c r="A14" s="15"/>
      <c r="B14" s="16">
        <f>IF(Lignes_hors_lot[[#This Row],[Tâche]]="","",IFERROR(INDEX(Taches[[Description]],MATCH(Lignes_hors_lot[[#This Row],[Tâche]],Taches[[Entrée]],0)),""))</f>
        <v>0</v>
      </c>
      <c r="C14" s="15"/>
      <c r="D14" s="15"/>
      <c r="I14" s="15"/>
      <c r="J14" s="16">
        <f>IF(Lignes_hors_lot[[#This Row],[Rôle ou catégorie]]="","",IFERROR(INDEX(Referentiel[[Nature]],MATCH(Lignes_hors_lot[[#This Row],[Rôle ou catégorie]],Referentiel[[Entrée]],0)),"?"))</f>
        <v>0</v>
      </c>
      <c r="K14" s="16">
        <f>IF(Lignes_hors_lot[[#This Row],[Rôle ou catégorie]]="","",IFERROR(INDEX(Referentiel[[Code comptable]],MATCH(Lignes_hors_lot[[#This Row],[Rôle ou catégorie]],Referentiel[[Entrée]],0)),"?"))</f>
        <v>0</v>
      </c>
      <c r="L14" s="16">
        <f>IF(Lignes_hors_lot[[#This Row],[Rôle ou catégorie]]="","",IFERROR(INDEX(Referentiel[[Service]],MATCH(Lignes_hors_lot[[#This Row],[Rôle ou catégorie]],Referentiel[[Entrée]],0)),"?")&amp;"")</f>
        <v>0</v>
      </c>
      <c r="M14" s="16">
        <f>IF(Lignes_hors_lot[[#This Row],[Rôle ou catégorie]]="","",IFERROR(INDEX(Referentiel[[Taux horaire]],MATCH(Lignes_hors_lot[[#This Row],[Rôle ou catégorie]],Referentiel[[Entrée]],0)),"?"))</f>
        <v>0</v>
      </c>
      <c r="N14" s="17">
        <f>IF(Lignes_hors_lot[[#This Row],[Rôle ou catégorie]]="","",IF(Lignes_hors_lot[[#This Row],[Type]]="Main-d’œuvre",Lignes_hors_lot[[#This Row],[Quantité]]*Lignes_hors_lot[[#This Row],[Heures]],0))</f>
        <v>0</v>
      </c>
      <c r="O14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4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4" s="18">
        <f>IF(Lignes_hors_lot[[#This Row],[Rôle ou catégorie]]="","",Lignes_hors_lot[[#This Row],[Main-d’œuvre]]+Lignes_hors_lot[[#This Row],[Débours]])</f>
        <v>0</v>
      </c>
      <c r="R14" s="18"/>
      <c r="T14" s="16">
        <f>IF(Lignes_hors_lot[[#This Row],[Rôle ou catégorie]]="","",IFERROR(INDEX(Referentiel[[Type de nature]],MATCH(Lignes_hors_lot[[#This Row],[Rôle ou catégorie]],Referentiel[[Entrée]],0)),"?"))</f>
        <v>0</v>
      </c>
    </row>
    <row r="15" spans="1:20">
      <c r="A15" s="15"/>
      <c r="B15" s="16">
        <f>IF(Lignes_hors_lot[[#This Row],[Tâche]]="","",IFERROR(INDEX(Taches[[Description]],MATCH(Lignes_hors_lot[[#This Row],[Tâche]],Taches[[Entrée]],0)),""))</f>
        <v>0</v>
      </c>
      <c r="C15" s="15"/>
      <c r="D15" s="15"/>
      <c r="I15" s="15"/>
      <c r="J15" s="16">
        <f>IF(Lignes_hors_lot[[#This Row],[Rôle ou catégorie]]="","",IFERROR(INDEX(Referentiel[[Nature]],MATCH(Lignes_hors_lot[[#This Row],[Rôle ou catégorie]],Referentiel[[Entrée]],0)),"?"))</f>
        <v>0</v>
      </c>
      <c r="K15" s="16">
        <f>IF(Lignes_hors_lot[[#This Row],[Rôle ou catégorie]]="","",IFERROR(INDEX(Referentiel[[Code comptable]],MATCH(Lignes_hors_lot[[#This Row],[Rôle ou catégorie]],Referentiel[[Entrée]],0)),"?"))</f>
        <v>0</v>
      </c>
      <c r="L15" s="16">
        <f>IF(Lignes_hors_lot[[#This Row],[Rôle ou catégorie]]="","",IFERROR(INDEX(Referentiel[[Service]],MATCH(Lignes_hors_lot[[#This Row],[Rôle ou catégorie]],Referentiel[[Entrée]],0)),"?")&amp;"")</f>
        <v>0</v>
      </c>
      <c r="M15" s="16">
        <f>IF(Lignes_hors_lot[[#This Row],[Rôle ou catégorie]]="","",IFERROR(INDEX(Referentiel[[Taux horaire]],MATCH(Lignes_hors_lot[[#This Row],[Rôle ou catégorie]],Referentiel[[Entrée]],0)),"?"))</f>
        <v>0</v>
      </c>
      <c r="N15" s="17">
        <f>IF(Lignes_hors_lot[[#This Row],[Rôle ou catégorie]]="","",IF(Lignes_hors_lot[[#This Row],[Type]]="Main-d’œuvre",Lignes_hors_lot[[#This Row],[Quantité]]*Lignes_hors_lot[[#This Row],[Heures]],0))</f>
        <v>0</v>
      </c>
      <c r="O15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5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5" s="18">
        <f>IF(Lignes_hors_lot[[#This Row],[Rôle ou catégorie]]="","",Lignes_hors_lot[[#This Row],[Main-d’œuvre]]+Lignes_hors_lot[[#This Row],[Débours]])</f>
        <v>0</v>
      </c>
      <c r="R15" s="18"/>
      <c r="T15" s="16">
        <f>IF(Lignes_hors_lot[[#This Row],[Rôle ou catégorie]]="","",IFERROR(INDEX(Referentiel[[Type de nature]],MATCH(Lignes_hors_lot[[#This Row],[Rôle ou catégorie]],Referentiel[[Entrée]],0)),"?"))</f>
        <v>0</v>
      </c>
    </row>
    <row r="16" spans="1:20">
      <c r="A16" s="15"/>
      <c r="B16" s="16">
        <f>IF(Lignes_hors_lot[[#This Row],[Tâche]]="","",IFERROR(INDEX(Taches[[Description]],MATCH(Lignes_hors_lot[[#This Row],[Tâche]],Taches[[Entrée]],0)),""))</f>
        <v>0</v>
      </c>
      <c r="C16" s="15"/>
      <c r="D16" s="15"/>
      <c r="I16" s="15"/>
      <c r="J16" s="16">
        <f>IF(Lignes_hors_lot[[#This Row],[Rôle ou catégorie]]="","",IFERROR(INDEX(Referentiel[[Nature]],MATCH(Lignes_hors_lot[[#This Row],[Rôle ou catégorie]],Referentiel[[Entrée]],0)),"?"))</f>
        <v>0</v>
      </c>
      <c r="K16" s="16">
        <f>IF(Lignes_hors_lot[[#This Row],[Rôle ou catégorie]]="","",IFERROR(INDEX(Referentiel[[Code comptable]],MATCH(Lignes_hors_lot[[#This Row],[Rôle ou catégorie]],Referentiel[[Entrée]],0)),"?"))</f>
        <v>0</v>
      </c>
      <c r="L16" s="16">
        <f>IF(Lignes_hors_lot[[#This Row],[Rôle ou catégorie]]="","",IFERROR(INDEX(Referentiel[[Service]],MATCH(Lignes_hors_lot[[#This Row],[Rôle ou catégorie]],Referentiel[[Entrée]],0)),"?")&amp;"")</f>
        <v>0</v>
      </c>
      <c r="M16" s="16">
        <f>IF(Lignes_hors_lot[[#This Row],[Rôle ou catégorie]]="","",IFERROR(INDEX(Referentiel[[Taux horaire]],MATCH(Lignes_hors_lot[[#This Row],[Rôle ou catégorie]],Referentiel[[Entrée]],0)),"?"))</f>
        <v>0</v>
      </c>
      <c r="N16" s="17">
        <f>IF(Lignes_hors_lot[[#This Row],[Rôle ou catégorie]]="","",IF(Lignes_hors_lot[[#This Row],[Type]]="Main-d’œuvre",Lignes_hors_lot[[#This Row],[Quantité]]*Lignes_hors_lot[[#This Row],[Heures]],0))</f>
        <v>0</v>
      </c>
      <c r="O16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6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6" s="18">
        <f>IF(Lignes_hors_lot[[#This Row],[Rôle ou catégorie]]="","",Lignes_hors_lot[[#This Row],[Main-d’œuvre]]+Lignes_hors_lot[[#This Row],[Débours]])</f>
        <v>0</v>
      </c>
      <c r="R16" s="18"/>
      <c r="T16" s="16">
        <f>IF(Lignes_hors_lot[[#This Row],[Rôle ou catégorie]]="","",IFERROR(INDEX(Referentiel[[Type de nature]],MATCH(Lignes_hors_lot[[#This Row],[Rôle ou catégorie]],Referentiel[[Entrée]],0)),"?"))</f>
        <v>0</v>
      </c>
    </row>
    <row r="17" spans="1:20">
      <c r="A17" s="15"/>
      <c r="B17" s="16">
        <f>IF(Lignes_hors_lot[[#This Row],[Tâche]]="","",IFERROR(INDEX(Taches[[Description]],MATCH(Lignes_hors_lot[[#This Row],[Tâche]],Taches[[Entrée]],0)),""))</f>
        <v>0</v>
      </c>
      <c r="C17" s="15"/>
      <c r="D17" s="15"/>
      <c r="I17" s="15"/>
      <c r="J17" s="16">
        <f>IF(Lignes_hors_lot[[#This Row],[Rôle ou catégorie]]="","",IFERROR(INDEX(Referentiel[[Nature]],MATCH(Lignes_hors_lot[[#This Row],[Rôle ou catégorie]],Referentiel[[Entrée]],0)),"?"))</f>
        <v>0</v>
      </c>
      <c r="K17" s="16">
        <f>IF(Lignes_hors_lot[[#This Row],[Rôle ou catégorie]]="","",IFERROR(INDEX(Referentiel[[Code comptable]],MATCH(Lignes_hors_lot[[#This Row],[Rôle ou catégorie]],Referentiel[[Entrée]],0)),"?"))</f>
        <v>0</v>
      </c>
      <c r="L17" s="16">
        <f>IF(Lignes_hors_lot[[#This Row],[Rôle ou catégorie]]="","",IFERROR(INDEX(Referentiel[[Service]],MATCH(Lignes_hors_lot[[#This Row],[Rôle ou catégorie]],Referentiel[[Entrée]],0)),"?")&amp;"")</f>
        <v>0</v>
      </c>
      <c r="M17" s="16">
        <f>IF(Lignes_hors_lot[[#This Row],[Rôle ou catégorie]]="","",IFERROR(INDEX(Referentiel[[Taux horaire]],MATCH(Lignes_hors_lot[[#This Row],[Rôle ou catégorie]],Referentiel[[Entrée]],0)),"?"))</f>
        <v>0</v>
      </c>
      <c r="N17" s="17">
        <f>IF(Lignes_hors_lot[[#This Row],[Rôle ou catégorie]]="","",IF(Lignes_hors_lot[[#This Row],[Type]]="Main-d’œuvre",Lignes_hors_lot[[#This Row],[Quantité]]*Lignes_hors_lot[[#This Row],[Heures]],0))</f>
        <v>0</v>
      </c>
      <c r="O17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7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7" s="18">
        <f>IF(Lignes_hors_lot[[#This Row],[Rôle ou catégorie]]="","",Lignes_hors_lot[[#This Row],[Main-d’œuvre]]+Lignes_hors_lot[[#This Row],[Débours]])</f>
        <v>0</v>
      </c>
      <c r="R17" s="18"/>
      <c r="T17" s="16">
        <f>IF(Lignes_hors_lot[[#This Row],[Rôle ou catégorie]]="","",IFERROR(INDEX(Referentiel[[Type de nature]],MATCH(Lignes_hors_lot[[#This Row],[Rôle ou catégorie]],Referentiel[[Entrée]],0)),"?"))</f>
        <v>0</v>
      </c>
    </row>
    <row r="18" spans="1:20">
      <c r="A18" s="15"/>
      <c r="B18" s="16">
        <f>IF(Lignes_hors_lot[[#This Row],[Tâche]]="","",IFERROR(INDEX(Taches[[Description]],MATCH(Lignes_hors_lot[[#This Row],[Tâche]],Taches[[Entrée]],0)),""))</f>
        <v>0</v>
      </c>
      <c r="C18" s="15"/>
      <c r="D18" s="15"/>
      <c r="I18" s="15"/>
      <c r="J18" s="16">
        <f>IF(Lignes_hors_lot[[#This Row],[Rôle ou catégorie]]="","",IFERROR(INDEX(Referentiel[[Nature]],MATCH(Lignes_hors_lot[[#This Row],[Rôle ou catégorie]],Referentiel[[Entrée]],0)),"?"))</f>
        <v>0</v>
      </c>
      <c r="K18" s="16">
        <f>IF(Lignes_hors_lot[[#This Row],[Rôle ou catégorie]]="","",IFERROR(INDEX(Referentiel[[Code comptable]],MATCH(Lignes_hors_lot[[#This Row],[Rôle ou catégorie]],Referentiel[[Entrée]],0)),"?"))</f>
        <v>0</v>
      </c>
      <c r="L18" s="16">
        <f>IF(Lignes_hors_lot[[#This Row],[Rôle ou catégorie]]="","",IFERROR(INDEX(Referentiel[[Service]],MATCH(Lignes_hors_lot[[#This Row],[Rôle ou catégorie]],Referentiel[[Entrée]],0)),"?")&amp;"")</f>
        <v>0</v>
      </c>
      <c r="M18" s="16">
        <f>IF(Lignes_hors_lot[[#This Row],[Rôle ou catégorie]]="","",IFERROR(INDEX(Referentiel[[Taux horaire]],MATCH(Lignes_hors_lot[[#This Row],[Rôle ou catégorie]],Referentiel[[Entrée]],0)),"?"))</f>
        <v>0</v>
      </c>
      <c r="N18" s="17">
        <f>IF(Lignes_hors_lot[[#This Row],[Rôle ou catégorie]]="","",IF(Lignes_hors_lot[[#This Row],[Type]]="Main-d’œuvre",Lignes_hors_lot[[#This Row],[Quantité]]*Lignes_hors_lot[[#This Row],[Heures]],0))</f>
        <v>0</v>
      </c>
      <c r="O18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8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8" s="18">
        <f>IF(Lignes_hors_lot[[#This Row],[Rôle ou catégorie]]="","",Lignes_hors_lot[[#This Row],[Main-d’œuvre]]+Lignes_hors_lot[[#This Row],[Débours]])</f>
        <v>0</v>
      </c>
      <c r="R18" s="18"/>
      <c r="T18" s="16">
        <f>IF(Lignes_hors_lot[[#This Row],[Rôle ou catégorie]]="","",IFERROR(INDEX(Referentiel[[Type de nature]],MATCH(Lignes_hors_lot[[#This Row],[Rôle ou catégorie]],Referentiel[[Entrée]],0)),"?"))</f>
        <v>0</v>
      </c>
    </row>
    <row r="19" spans="1:20">
      <c r="A19" s="15"/>
      <c r="B19" s="16">
        <f>IF(Lignes_hors_lot[[#This Row],[Tâche]]="","",IFERROR(INDEX(Taches[[Description]],MATCH(Lignes_hors_lot[[#This Row],[Tâche]],Taches[[Entrée]],0)),""))</f>
        <v>0</v>
      </c>
      <c r="C19" s="15"/>
      <c r="D19" s="15"/>
      <c r="I19" s="15"/>
      <c r="J19" s="16">
        <f>IF(Lignes_hors_lot[[#This Row],[Rôle ou catégorie]]="","",IFERROR(INDEX(Referentiel[[Nature]],MATCH(Lignes_hors_lot[[#This Row],[Rôle ou catégorie]],Referentiel[[Entrée]],0)),"?"))</f>
        <v>0</v>
      </c>
      <c r="K19" s="16">
        <f>IF(Lignes_hors_lot[[#This Row],[Rôle ou catégorie]]="","",IFERROR(INDEX(Referentiel[[Code comptable]],MATCH(Lignes_hors_lot[[#This Row],[Rôle ou catégorie]],Referentiel[[Entrée]],0)),"?"))</f>
        <v>0</v>
      </c>
      <c r="L19" s="16">
        <f>IF(Lignes_hors_lot[[#This Row],[Rôle ou catégorie]]="","",IFERROR(INDEX(Referentiel[[Service]],MATCH(Lignes_hors_lot[[#This Row],[Rôle ou catégorie]],Referentiel[[Entrée]],0)),"?")&amp;"")</f>
        <v>0</v>
      </c>
      <c r="M19" s="16">
        <f>IF(Lignes_hors_lot[[#This Row],[Rôle ou catégorie]]="","",IFERROR(INDEX(Referentiel[[Taux horaire]],MATCH(Lignes_hors_lot[[#This Row],[Rôle ou catégorie]],Referentiel[[Entrée]],0)),"?"))</f>
        <v>0</v>
      </c>
      <c r="N19" s="17">
        <f>IF(Lignes_hors_lot[[#This Row],[Rôle ou catégorie]]="","",IF(Lignes_hors_lot[[#This Row],[Type]]="Main-d’œuvre",Lignes_hors_lot[[#This Row],[Quantité]]*Lignes_hors_lot[[#This Row],[Heures]],0))</f>
        <v>0</v>
      </c>
      <c r="O19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19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19" s="18">
        <f>IF(Lignes_hors_lot[[#This Row],[Rôle ou catégorie]]="","",Lignes_hors_lot[[#This Row],[Main-d’œuvre]]+Lignes_hors_lot[[#This Row],[Débours]])</f>
        <v>0</v>
      </c>
      <c r="R19" s="18"/>
      <c r="T19" s="16">
        <f>IF(Lignes_hors_lot[[#This Row],[Rôle ou catégorie]]="","",IFERROR(INDEX(Referentiel[[Type de nature]],MATCH(Lignes_hors_lot[[#This Row],[Rôle ou catégorie]],Referentiel[[Entrée]],0)),"?"))</f>
        <v>0</v>
      </c>
    </row>
    <row r="20" spans="1:20">
      <c r="A20" s="15"/>
      <c r="B20" s="16">
        <f>IF(Lignes_hors_lot[[#This Row],[Tâche]]="","",IFERROR(INDEX(Taches[[Description]],MATCH(Lignes_hors_lot[[#This Row],[Tâche]],Taches[[Entrée]],0)),""))</f>
        <v>0</v>
      </c>
      <c r="C20" s="15"/>
      <c r="D20" s="15"/>
      <c r="I20" s="15"/>
      <c r="J20" s="16">
        <f>IF(Lignes_hors_lot[[#This Row],[Rôle ou catégorie]]="","",IFERROR(INDEX(Referentiel[[Nature]],MATCH(Lignes_hors_lot[[#This Row],[Rôle ou catégorie]],Referentiel[[Entrée]],0)),"?"))</f>
        <v>0</v>
      </c>
      <c r="K20" s="16">
        <f>IF(Lignes_hors_lot[[#This Row],[Rôle ou catégorie]]="","",IFERROR(INDEX(Referentiel[[Code comptable]],MATCH(Lignes_hors_lot[[#This Row],[Rôle ou catégorie]],Referentiel[[Entrée]],0)),"?"))</f>
        <v>0</v>
      </c>
      <c r="L20" s="16">
        <f>IF(Lignes_hors_lot[[#This Row],[Rôle ou catégorie]]="","",IFERROR(INDEX(Referentiel[[Service]],MATCH(Lignes_hors_lot[[#This Row],[Rôle ou catégorie]],Referentiel[[Entrée]],0)),"?")&amp;"")</f>
        <v>0</v>
      </c>
      <c r="M20" s="16">
        <f>IF(Lignes_hors_lot[[#This Row],[Rôle ou catégorie]]="","",IFERROR(INDEX(Referentiel[[Taux horaire]],MATCH(Lignes_hors_lot[[#This Row],[Rôle ou catégorie]],Referentiel[[Entrée]],0)),"?"))</f>
        <v>0</v>
      </c>
      <c r="N20" s="17">
        <f>IF(Lignes_hors_lot[[#This Row],[Rôle ou catégorie]]="","",IF(Lignes_hors_lot[[#This Row],[Type]]="Main-d’œuvre",Lignes_hors_lot[[#This Row],[Quantité]]*Lignes_hors_lot[[#This Row],[Heures]],0))</f>
        <v>0</v>
      </c>
      <c r="O20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0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0" s="18">
        <f>IF(Lignes_hors_lot[[#This Row],[Rôle ou catégorie]]="","",Lignes_hors_lot[[#This Row],[Main-d’œuvre]]+Lignes_hors_lot[[#This Row],[Débours]])</f>
        <v>0</v>
      </c>
      <c r="R20" s="18"/>
      <c r="T20" s="16">
        <f>IF(Lignes_hors_lot[[#This Row],[Rôle ou catégorie]]="","",IFERROR(INDEX(Referentiel[[Type de nature]],MATCH(Lignes_hors_lot[[#This Row],[Rôle ou catégorie]],Referentiel[[Entrée]],0)),"?"))</f>
        <v>0</v>
      </c>
    </row>
    <row r="21" spans="1:20">
      <c r="A21" s="15"/>
      <c r="B21" s="16">
        <f>IF(Lignes_hors_lot[[#This Row],[Tâche]]="","",IFERROR(INDEX(Taches[[Description]],MATCH(Lignes_hors_lot[[#This Row],[Tâche]],Taches[[Entrée]],0)),""))</f>
        <v>0</v>
      </c>
      <c r="C21" s="15"/>
      <c r="D21" s="15"/>
      <c r="I21" s="15"/>
      <c r="J21" s="16">
        <f>IF(Lignes_hors_lot[[#This Row],[Rôle ou catégorie]]="","",IFERROR(INDEX(Referentiel[[Nature]],MATCH(Lignes_hors_lot[[#This Row],[Rôle ou catégorie]],Referentiel[[Entrée]],0)),"?"))</f>
        <v>0</v>
      </c>
      <c r="K21" s="16">
        <f>IF(Lignes_hors_lot[[#This Row],[Rôle ou catégorie]]="","",IFERROR(INDEX(Referentiel[[Code comptable]],MATCH(Lignes_hors_lot[[#This Row],[Rôle ou catégorie]],Referentiel[[Entrée]],0)),"?"))</f>
        <v>0</v>
      </c>
      <c r="L21" s="16">
        <f>IF(Lignes_hors_lot[[#This Row],[Rôle ou catégorie]]="","",IFERROR(INDEX(Referentiel[[Service]],MATCH(Lignes_hors_lot[[#This Row],[Rôle ou catégorie]],Referentiel[[Entrée]],0)),"?")&amp;"")</f>
        <v>0</v>
      </c>
      <c r="M21" s="16">
        <f>IF(Lignes_hors_lot[[#This Row],[Rôle ou catégorie]]="","",IFERROR(INDEX(Referentiel[[Taux horaire]],MATCH(Lignes_hors_lot[[#This Row],[Rôle ou catégorie]],Referentiel[[Entrée]],0)),"?"))</f>
        <v>0</v>
      </c>
      <c r="N21" s="17">
        <f>IF(Lignes_hors_lot[[#This Row],[Rôle ou catégorie]]="","",IF(Lignes_hors_lot[[#This Row],[Type]]="Main-d’œuvre",Lignes_hors_lot[[#This Row],[Quantité]]*Lignes_hors_lot[[#This Row],[Heures]],0))</f>
        <v>0</v>
      </c>
      <c r="O21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1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1" s="18">
        <f>IF(Lignes_hors_lot[[#This Row],[Rôle ou catégorie]]="","",Lignes_hors_lot[[#This Row],[Main-d’œuvre]]+Lignes_hors_lot[[#This Row],[Débours]])</f>
        <v>0</v>
      </c>
      <c r="R21" s="18"/>
      <c r="T21" s="16">
        <f>IF(Lignes_hors_lot[[#This Row],[Rôle ou catégorie]]="","",IFERROR(INDEX(Referentiel[[Type de nature]],MATCH(Lignes_hors_lot[[#This Row],[Rôle ou catégorie]],Referentiel[[Entrée]],0)),"?"))</f>
        <v>0</v>
      </c>
    </row>
    <row r="22" spans="1:20">
      <c r="A22" s="15"/>
      <c r="B22" s="16">
        <f>IF(Lignes_hors_lot[[#This Row],[Tâche]]="","",IFERROR(INDEX(Taches[[Description]],MATCH(Lignes_hors_lot[[#This Row],[Tâche]],Taches[[Entrée]],0)),""))</f>
        <v>0</v>
      </c>
      <c r="C22" s="15"/>
      <c r="D22" s="15"/>
      <c r="I22" s="15"/>
      <c r="J22" s="16">
        <f>IF(Lignes_hors_lot[[#This Row],[Rôle ou catégorie]]="","",IFERROR(INDEX(Referentiel[[Nature]],MATCH(Lignes_hors_lot[[#This Row],[Rôle ou catégorie]],Referentiel[[Entrée]],0)),"?"))</f>
        <v>0</v>
      </c>
      <c r="K22" s="16">
        <f>IF(Lignes_hors_lot[[#This Row],[Rôle ou catégorie]]="","",IFERROR(INDEX(Referentiel[[Code comptable]],MATCH(Lignes_hors_lot[[#This Row],[Rôle ou catégorie]],Referentiel[[Entrée]],0)),"?"))</f>
        <v>0</v>
      </c>
      <c r="L22" s="16">
        <f>IF(Lignes_hors_lot[[#This Row],[Rôle ou catégorie]]="","",IFERROR(INDEX(Referentiel[[Service]],MATCH(Lignes_hors_lot[[#This Row],[Rôle ou catégorie]],Referentiel[[Entrée]],0)),"?")&amp;"")</f>
        <v>0</v>
      </c>
      <c r="M22" s="16">
        <f>IF(Lignes_hors_lot[[#This Row],[Rôle ou catégorie]]="","",IFERROR(INDEX(Referentiel[[Taux horaire]],MATCH(Lignes_hors_lot[[#This Row],[Rôle ou catégorie]],Referentiel[[Entrée]],0)),"?"))</f>
        <v>0</v>
      </c>
      <c r="N22" s="17">
        <f>IF(Lignes_hors_lot[[#This Row],[Rôle ou catégorie]]="","",IF(Lignes_hors_lot[[#This Row],[Type]]="Main-d’œuvre",Lignes_hors_lot[[#This Row],[Quantité]]*Lignes_hors_lot[[#This Row],[Heures]],0))</f>
        <v>0</v>
      </c>
      <c r="O22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2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2" s="18">
        <f>IF(Lignes_hors_lot[[#This Row],[Rôle ou catégorie]]="","",Lignes_hors_lot[[#This Row],[Main-d’œuvre]]+Lignes_hors_lot[[#This Row],[Débours]])</f>
        <v>0</v>
      </c>
      <c r="R22" s="18"/>
      <c r="T22" s="16">
        <f>IF(Lignes_hors_lot[[#This Row],[Rôle ou catégorie]]="","",IFERROR(INDEX(Referentiel[[Type de nature]],MATCH(Lignes_hors_lot[[#This Row],[Rôle ou catégorie]],Referentiel[[Entrée]],0)),"?"))</f>
        <v>0</v>
      </c>
    </row>
    <row r="23" spans="1:20">
      <c r="A23" s="15"/>
      <c r="B23" s="16">
        <f>IF(Lignes_hors_lot[[#This Row],[Tâche]]="","",IFERROR(INDEX(Taches[[Description]],MATCH(Lignes_hors_lot[[#This Row],[Tâche]],Taches[[Entrée]],0)),""))</f>
        <v>0</v>
      </c>
      <c r="C23" s="15"/>
      <c r="D23" s="15"/>
      <c r="I23" s="15"/>
      <c r="J23" s="16">
        <f>IF(Lignes_hors_lot[[#This Row],[Rôle ou catégorie]]="","",IFERROR(INDEX(Referentiel[[Nature]],MATCH(Lignes_hors_lot[[#This Row],[Rôle ou catégorie]],Referentiel[[Entrée]],0)),"?"))</f>
        <v>0</v>
      </c>
      <c r="K23" s="16">
        <f>IF(Lignes_hors_lot[[#This Row],[Rôle ou catégorie]]="","",IFERROR(INDEX(Referentiel[[Code comptable]],MATCH(Lignes_hors_lot[[#This Row],[Rôle ou catégorie]],Referentiel[[Entrée]],0)),"?"))</f>
        <v>0</v>
      </c>
      <c r="L23" s="16">
        <f>IF(Lignes_hors_lot[[#This Row],[Rôle ou catégorie]]="","",IFERROR(INDEX(Referentiel[[Service]],MATCH(Lignes_hors_lot[[#This Row],[Rôle ou catégorie]],Referentiel[[Entrée]],0)),"?")&amp;"")</f>
        <v>0</v>
      </c>
      <c r="M23" s="16">
        <f>IF(Lignes_hors_lot[[#This Row],[Rôle ou catégorie]]="","",IFERROR(INDEX(Referentiel[[Taux horaire]],MATCH(Lignes_hors_lot[[#This Row],[Rôle ou catégorie]],Referentiel[[Entrée]],0)),"?"))</f>
        <v>0</v>
      </c>
      <c r="N23" s="17">
        <f>IF(Lignes_hors_lot[[#This Row],[Rôle ou catégorie]]="","",IF(Lignes_hors_lot[[#This Row],[Type]]="Main-d’œuvre",Lignes_hors_lot[[#This Row],[Quantité]]*Lignes_hors_lot[[#This Row],[Heures]],0))</f>
        <v>0</v>
      </c>
      <c r="O23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3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3" s="18">
        <f>IF(Lignes_hors_lot[[#This Row],[Rôle ou catégorie]]="","",Lignes_hors_lot[[#This Row],[Main-d’œuvre]]+Lignes_hors_lot[[#This Row],[Débours]])</f>
        <v>0</v>
      </c>
      <c r="R23" s="18"/>
      <c r="T23" s="16">
        <f>IF(Lignes_hors_lot[[#This Row],[Rôle ou catégorie]]="","",IFERROR(INDEX(Referentiel[[Type de nature]],MATCH(Lignes_hors_lot[[#This Row],[Rôle ou catégorie]],Referentiel[[Entrée]],0)),"?"))</f>
        <v>0</v>
      </c>
    </row>
    <row r="24" spans="1:20">
      <c r="A24" s="15"/>
      <c r="B24" s="16">
        <f>IF(Lignes_hors_lot[[#This Row],[Tâche]]="","",IFERROR(INDEX(Taches[[Description]],MATCH(Lignes_hors_lot[[#This Row],[Tâche]],Taches[[Entrée]],0)),""))</f>
        <v>0</v>
      </c>
      <c r="C24" s="15"/>
      <c r="D24" s="15"/>
      <c r="I24" s="15"/>
      <c r="J24" s="16">
        <f>IF(Lignes_hors_lot[[#This Row],[Rôle ou catégorie]]="","",IFERROR(INDEX(Referentiel[[Nature]],MATCH(Lignes_hors_lot[[#This Row],[Rôle ou catégorie]],Referentiel[[Entrée]],0)),"?"))</f>
        <v>0</v>
      </c>
      <c r="K24" s="16">
        <f>IF(Lignes_hors_lot[[#This Row],[Rôle ou catégorie]]="","",IFERROR(INDEX(Referentiel[[Code comptable]],MATCH(Lignes_hors_lot[[#This Row],[Rôle ou catégorie]],Referentiel[[Entrée]],0)),"?"))</f>
        <v>0</v>
      </c>
      <c r="L24" s="16">
        <f>IF(Lignes_hors_lot[[#This Row],[Rôle ou catégorie]]="","",IFERROR(INDEX(Referentiel[[Service]],MATCH(Lignes_hors_lot[[#This Row],[Rôle ou catégorie]],Referentiel[[Entrée]],0)),"?")&amp;"")</f>
        <v>0</v>
      </c>
      <c r="M24" s="16">
        <f>IF(Lignes_hors_lot[[#This Row],[Rôle ou catégorie]]="","",IFERROR(INDEX(Referentiel[[Taux horaire]],MATCH(Lignes_hors_lot[[#This Row],[Rôle ou catégorie]],Referentiel[[Entrée]],0)),"?"))</f>
        <v>0</v>
      </c>
      <c r="N24" s="17">
        <f>IF(Lignes_hors_lot[[#This Row],[Rôle ou catégorie]]="","",IF(Lignes_hors_lot[[#This Row],[Type]]="Main-d’œuvre",Lignes_hors_lot[[#This Row],[Quantité]]*Lignes_hors_lot[[#This Row],[Heures]],0))</f>
        <v>0</v>
      </c>
      <c r="O24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4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4" s="18">
        <f>IF(Lignes_hors_lot[[#This Row],[Rôle ou catégorie]]="","",Lignes_hors_lot[[#This Row],[Main-d’œuvre]]+Lignes_hors_lot[[#This Row],[Débours]])</f>
        <v>0</v>
      </c>
      <c r="R24" s="18"/>
      <c r="T24" s="16">
        <f>IF(Lignes_hors_lot[[#This Row],[Rôle ou catégorie]]="","",IFERROR(INDEX(Referentiel[[Type de nature]],MATCH(Lignes_hors_lot[[#This Row],[Rôle ou catégorie]],Referentiel[[Entrée]],0)),"?"))</f>
        <v>0</v>
      </c>
    </row>
    <row r="25" spans="1:20">
      <c r="A25" s="15"/>
      <c r="B25" s="16">
        <f>IF(Lignes_hors_lot[[#This Row],[Tâche]]="","",IFERROR(INDEX(Taches[[Description]],MATCH(Lignes_hors_lot[[#This Row],[Tâche]],Taches[[Entrée]],0)),""))</f>
        <v>0</v>
      </c>
      <c r="C25" s="15"/>
      <c r="D25" s="15"/>
      <c r="I25" s="15"/>
      <c r="J25" s="16">
        <f>IF(Lignes_hors_lot[[#This Row],[Rôle ou catégorie]]="","",IFERROR(INDEX(Referentiel[[Nature]],MATCH(Lignes_hors_lot[[#This Row],[Rôle ou catégorie]],Referentiel[[Entrée]],0)),"?"))</f>
        <v>0</v>
      </c>
      <c r="K25" s="16">
        <f>IF(Lignes_hors_lot[[#This Row],[Rôle ou catégorie]]="","",IFERROR(INDEX(Referentiel[[Code comptable]],MATCH(Lignes_hors_lot[[#This Row],[Rôle ou catégorie]],Referentiel[[Entrée]],0)),"?"))</f>
        <v>0</v>
      </c>
      <c r="L25" s="16">
        <f>IF(Lignes_hors_lot[[#This Row],[Rôle ou catégorie]]="","",IFERROR(INDEX(Referentiel[[Service]],MATCH(Lignes_hors_lot[[#This Row],[Rôle ou catégorie]],Referentiel[[Entrée]],0)),"?")&amp;"")</f>
        <v>0</v>
      </c>
      <c r="M25" s="16">
        <f>IF(Lignes_hors_lot[[#This Row],[Rôle ou catégorie]]="","",IFERROR(INDEX(Referentiel[[Taux horaire]],MATCH(Lignes_hors_lot[[#This Row],[Rôle ou catégorie]],Referentiel[[Entrée]],0)),"?"))</f>
        <v>0</v>
      </c>
      <c r="N25" s="17">
        <f>IF(Lignes_hors_lot[[#This Row],[Rôle ou catégorie]]="","",IF(Lignes_hors_lot[[#This Row],[Type]]="Main-d’œuvre",Lignes_hors_lot[[#This Row],[Quantité]]*Lignes_hors_lot[[#This Row],[Heures]],0))</f>
        <v>0</v>
      </c>
      <c r="O25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5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5" s="18">
        <f>IF(Lignes_hors_lot[[#This Row],[Rôle ou catégorie]]="","",Lignes_hors_lot[[#This Row],[Main-d’œuvre]]+Lignes_hors_lot[[#This Row],[Débours]])</f>
        <v>0</v>
      </c>
      <c r="R25" s="18"/>
      <c r="T25" s="16">
        <f>IF(Lignes_hors_lot[[#This Row],[Rôle ou catégorie]]="","",IFERROR(INDEX(Referentiel[[Type de nature]],MATCH(Lignes_hors_lot[[#This Row],[Rôle ou catégorie]],Referentiel[[Entrée]],0)),"?"))</f>
        <v>0</v>
      </c>
    </row>
    <row r="26" spans="1:20">
      <c r="A26" s="15"/>
      <c r="B26" s="16">
        <f>IF(Lignes_hors_lot[[#This Row],[Tâche]]="","",IFERROR(INDEX(Taches[[Description]],MATCH(Lignes_hors_lot[[#This Row],[Tâche]],Taches[[Entrée]],0)),""))</f>
        <v>0</v>
      </c>
      <c r="C26" s="15"/>
      <c r="D26" s="15"/>
      <c r="I26" s="15"/>
      <c r="J26" s="16">
        <f>IF(Lignes_hors_lot[[#This Row],[Rôle ou catégorie]]="","",IFERROR(INDEX(Referentiel[[Nature]],MATCH(Lignes_hors_lot[[#This Row],[Rôle ou catégorie]],Referentiel[[Entrée]],0)),"?"))</f>
        <v>0</v>
      </c>
      <c r="K26" s="16">
        <f>IF(Lignes_hors_lot[[#This Row],[Rôle ou catégorie]]="","",IFERROR(INDEX(Referentiel[[Code comptable]],MATCH(Lignes_hors_lot[[#This Row],[Rôle ou catégorie]],Referentiel[[Entrée]],0)),"?"))</f>
        <v>0</v>
      </c>
      <c r="L26" s="16">
        <f>IF(Lignes_hors_lot[[#This Row],[Rôle ou catégorie]]="","",IFERROR(INDEX(Referentiel[[Service]],MATCH(Lignes_hors_lot[[#This Row],[Rôle ou catégorie]],Referentiel[[Entrée]],0)),"?")&amp;"")</f>
        <v>0</v>
      </c>
      <c r="M26" s="16">
        <f>IF(Lignes_hors_lot[[#This Row],[Rôle ou catégorie]]="","",IFERROR(INDEX(Referentiel[[Taux horaire]],MATCH(Lignes_hors_lot[[#This Row],[Rôle ou catégorie]],Referentiel[[Entrée]],0)),"?"))</f>
        <v>0</v>
      </c>
      <c r="N26" s="17">
        <f>IF(Lignes_hors_lot[[#This Row],[Rôle ou catégorie]]="","",IF(Lignes_hors_lot[[#This Row],[Type]]="Main-d’œuvre",Lignes_hors_lot[[#This Row],[Quantité]]*Lignes_hors_lot[[#This Row],[Heures]],0))</f>
        <v>0</v>
      </c>
      <c r="O26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6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6" s="18">
        <f>IF(Lignes_hors_lot[[#This Row],[Rôle ou catégorie]]="","",Lignes_hors_lot[[#This Row],[Main-d’œuvre]]+Lignes_hors_lot[[#This Row],[Débours]])</f>
        <v>0</v>
      </c>
      <c r="R26" s="18"/>
      <c r="T26" s="16">
        <f>IF(Lignes_hors_lot[[#This Row],[Rôle ou catégorie]]="","",IFERROR(INDEX(Referentiel[[Type de nature]],MATCH(Lignes_hors_lot[[#This Row],[Rôle ou catégorie]],Referentiel[[Entrée]],0)),"?"))</f>
        <v>0</v>
      </c>
    </row>
    <row r="27" spans="1:20">
      <c r="A27" s="15"/>
      <c r="B27" s="16">
        <f>IF(Lignes_hors_lot[[#This Row],[Tâche]]="","",IFERROR(INDEX(Taches[[Description]],MATCH(Lignes_hors_lot[[#This Row],[Tâche]],Taches[[Entrée]],0)),""))</f>
        <v>0</v>
      </c>
      <c r="C27" s="15"/>
      <c r="D27" s="15"/>
      <c r="I27" s="15"/>
      <c r="J27" s="16">
        <f>IF(Lignes_hors_lot[[#This Row],[Rôle ou catégorie]]="","",IFERROR(INDEX(Referentiel[[Nature]],MATCH(Lignes_hors_lot[[#This Row],[Rôle ou catégorie]],Referentiel[[Entrée]],0)),"?"))</f>
        <v>0</v>
      </c>
      <c r="K27" s="16">
        <f>IF(Lignes_hors_lot[[#This Row],[Rôle ou catégorie]]="","",IFERROR(INDEX(Referentiel[[Code comptable]],MATCH(Lignes_hors_lot[[#This Row],[Rôle ou catégorie]],Referentiel[[Entrée]],0)),"?"))</f>
        <v>0</v>
      </c>
      <c r="L27" s="16">
        <f>IF(Lignes_hors_lot[[#This Row],[Rôle ou catégorie]]="","",IFERROR(INDEX(Referentiel[[Service]],MATCH(Lignes_hors_lot[[#This Row],[Rôle ou catégorie]],Referentiel[[Entrée]],0)),"?")&amp;"")</f>
        <v>0</v>
      </c>
      <c r="M27" s="16">
        <f>IF(Lignes_hors_lot[[#This Row],[Rôle ou catégorie]]="","",IFERROR(INDEX(Referentiel[[Taux horaire]],MATCH(Lignes_hors_lot[[#This Row],[Rôle ou catégorie]],Referentiel[[Entrée]],0)),"?"))</f>
        <v>0</v>
      </c>
      <c r="N27" s="17">
        <f>IF(Lignes_hors_lot[[#This Row],[Rôle ou catégorie]]="","",IF(Lignes_hors_lot[[#This Row],[Type]]="Main-d’œuvre",Lignes_hors_lot[[#This Row],[Quantité]]*Lignes_hors_lot[[#This Row],[Heures]],0))</f>
        <v>0</v>
      </c>
      <c r="O27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7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7" s="18">
        <f>IF(Lignes_hors_lot[[#This Row],[Rôle ou catégorie]]="","",Lignes_hors_lot[[#This Row],[Main-d’œuvre]]+Lignes_hors_lot[[#This Row],[Débours]])</f>
        <v>0</v>
      </c>
      <c r="R27" s="18"/>
      <c r="T27" s="16">
        <f>IF(Lignes_hors_lot[[#This Row],[Rôle ou catégorie]]="","",IFERROR(INDEX(Referentiel[[Type de nature]],MATCH(Lignes_hors_lot[[#This Row],[Rôle ou catégorie]],Referentiel[[Entrée]],0)),"?"))</f>
        <v>0</v>
      </c>
    </row>
    <row r="28" spans="1:20">
      <c r="A28" s="15"/>
      <c r="B28" s="16">
        <f>IF(Lignes_hors_lot[[#This Row],[Tâche]]="","",IFERROR(INDEX(Taches[[Description]],MATCH(Lignes_hors_lot[[#This Row],[Tâche]],Taches[[Entrée]],0)),""))</f>
        <v>0</v>
      </c>
      <c r="C28" s="15"/>
      <c r="D28" s="15"/>
      <c r="I28" s="15"/>
      <c r="J28" s="16">
        <f>IF(Lignes_hors_lot[[#This Row],[Rôle ou catégorie]]="","",IFERROR(INDEX(Referentiel[[Nature]],MATCH(Lignes_hors_lot[[#This Row],[Rôle ou catégorie]],Referentiel[[Entrée]],0)),"?"))</f>
        <v>0</v>
      </c>
      <c r="K28" s="16">
        <f>IF(Lignes_hors_lot[[#This Row],[Rôle ou catégorie]]="","",IFERROR(INDEX(Referentiel[[Code comptable]],MATCH(Lignes_hors_lot[[#This Row],[Rôle ou catégorie]],Referentiel[[Entrée]],0)),"?"))</f>
        <v>0</v>
      </c>
      <c r="L28" s="16">
        <f>IF(Lignes_hors_lot[[#This Row],[Rôle ou catégorie]]="","",IFERROR(INDEX(Referentiel[[Service]],MATCH(Lignes_hors_lot[[#This Row],[Rôle ou catégorie]],Referentiel[[Entrée]],0)),"?")&amp;"")</f>
        <v>0</v>
      </c>
      <c r="M28" s="16">
        <f>IF(Lignes_hors_lot[[#This Row],[Rôle ou catégorie]]="","",IFERROR(INDEX(Referentiel[[Taux horaire]],MATCH(Lignes_hors_lot[[#This Row],[Rôle ou catégorie]],Referentiel[[Entrée]],0)),"?"))</f>
        <v>0</v>
      </c>
      <c r="N28" s="17">
        <f>IF(Lignes_hors_lot[[#This Row],[Rôle ou catégorie]]="","",IF(Lignes_hors_lot[[#This Row],[Type]]="Main-d’œuvre",Lignes_hors_lot[[#This Row],[Quantité]]*Lignes_hors_lot[[#This Row],[Heures]],0))</f>
        <v>0</v>
      </c>
      <c r="O28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8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8" s="18">
        <f>IF(Lignes_hors_lot[[#This Row],[Rôle ou catégorie]]="","",Lignes_hors_lot[[#This Row],[Main-d’œuvre]]+Lignes_hors_lot[[#This Row],[Débours]])</f>
        <v>0</v>
      </c>
      <c r="R28" s="18"/>
      <c r="T28" s="16">
        <f>IF(Lignes_hors_lot[[#This Row],[Rôle ou catégorie]]="","",IFERROR(INDEX(Referentiel[[Type de nature]],MATCH(Lignes_hors_lot[[#This Row],[Rôle ou catégorie]],Referentiel[[Entrée]],0)),"?"))</f>
        <v>0</v>
      </c>
    </row>
    <row r="29" spans="1:20">
      <c r="A29" s="15"/>
      <c r="B29" s="16">
        <f>IF(Lignes_hors_lot[[#This Row],[Tâche]]="","",IFERROR(INDEX(Taches[[Description]],MATCH(Lignes_hors_lot[[#This Row],[Tâche]],Taches[[Entrée]],0)),""))</f>
        <v>0</v>
      </c>
      <c r="C29" s="15"/>
      <c r="D29" s="15"/>
      <c r="I29" s="15"/>
      <c r="J29" s="16">
        <f>IF(Lignes_hors_lot[[#This Row],[Rôle ou catégorie]]="","",IFERROR(INDEX(Referentiel[[Nature]],MATCH(Lignes_hors_lot[[#This Row],[Rôle ou catégorie]],Referentiel[[Entrée]],0)),"?"))</f>
        <v>0</v>
      </c>
      <c r="K29" s="16">
        <f>IF(Lignes_hors_lot[[#This Row],[Rôle ou catégorie]]="","",IFERROR(INDEX(Referentiel[[Code comptable]],MATCH(Lignes_hors_lot[[#This Row],[Rôle ou catégorie]],Referentiel[[Entrée]],0)),"?"))</f>
        <v>0</v>
      </c>
      <c r="L29" s="16">
        <f>IF(Lignes_hors_lot[[#This Row],[Rôle ou catégorie]]="","",IFERROR(INDEX(Referentiel[[Service]],MATCH(Lignes_hors_lot[[#This Row],[Rôle ou catégorie]],Referentiel[[Entrée]],0)),"?")&amp;"")</f>
        <v>0</v>
      </c>
      <c r="M29" s="16">
        <f>IF(Lignes_hors_lot[[#This Row],[Rôle ou catégorie]]="","",IFERROR(INDEX(Referentiel[[Taux horaire]],MATCH(Lignes_hors_lot[[#This Row],[Rôle ou catégorie]],Referentiel[[Entrée]],0)),"?"))</f>
        <v>0</v>
      </c>
      <c r="N29" s="17">
        <f>IF(Lignes_hors_lot[[#This Row],[Rôle ou catégorie]]="","",IF(Lignes_hors_lot[[#This Row],[Type]]="Main-d’œuvre",Lignes_hors_lot[[#This Row],[Quantité]]*Lignes_hors_lot[[#This Row],[Heures]],0))</f>
        <v>0</v>
      </c>
      <c r="O29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29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29" s="18">
        <f>IF(Lignes_hors_lot[[#This Row],[Rôle ou catégorie]]="","",Lignes_hors_lot[[#This Row],[Main-d’œuvre]]+Lignes_hors_lot[[#This Row],[Débours]])</f>
        <v>0</v>
      </c>
      <c r="R29" s="18"/>
      <c r="T29" s="16">
        <f>IF(Lignes_hors_lot[[#This Row],[Rôle ou catégorie]]="","",IFERROR(INDEX(Referentiel[[Type de nature]],MATCH(Lignes_hors_lot[[#This Row],[Rôle ou catégorie]],Referentiel[[Entrée]],0)),"?"))</f>
        <v>0</v>
      </c>
    </row>
    <row r="30" spans="1:20">
      <c r="A30" s="15"/>
      <c r="B30" s="16">
        <f>IF(Lignes_hors_lot[[#This Row],[Tâche]]="","",IFERROR(INDEX(Taches[[Description]],MATCH(Lignes_hors_lot[[#This Row],[Tâche]],Taches[[Entrée]],0)),""))</f>
        <v>0</v>
      </c>
      <c r="C30" s="15"/>
      <c r="D30" s="15"/>
      <c r="I30" s="15"/>
      <c r="J30" s="16">
        <f>IF(Lignes_hors_lot[[#This Row],[Rôle ou catégorie]]="","",IFERROR(INDEX(Referentiel[[Nature]],MATCH(Lignes_hors_lot[[#This Row],[Rôle ou catégorie]],Referentiel[[Entrée]],0)),"?"))</f>
        <v>0</v>
      </c>
      <c r="K30" s="16">
        <f>IF(Lignes_hors_lot[[#This Row],[Rôle ou catégorie]]="","",IFERROR(INDEX(Referentiel[[Code comptable]],MATCH(Lignes_hors_lot[[#This Row],[Rôle ou catégorie]],Referentiel[[Entrée]],0)),"?"))</f>
        <v>0</v>
      </c>
      <c r="L30" s="16">
        <f>IF(Lignes_hors_lot[[#This Row],[Rôle ou catégorie]]="","",IFERROR(INDEX(Referentiel[[Service]],MATCH(Lignes_hors_lot[[#This Row],[Rôle ou catégorie]],Referentiel[[Entrée]],0)),"?")&amp;"")</f>
        <v>0</v>
      </c>
      <c r="M30" s="16">
        <f>IF(Lignes_hors_lot[[#This Row],[Rôle ou catégorie]]="","",IFERROR(INDEX(Referentiel[[Taux horaire]],MATCH(Lignes_hors_lot[[#This Row],[Rôle ou catégorie]],Referentiel[[Entrée]],0)),"?"))</f>
        <v>0</v>
      </c>
      <c r="N30" s="17">
        <f>IF(Lignes_hors_lot[[#This Row],[Rôle ou catégorie]]="","",IF(Lignes_hors_lot[[#This Row],[Type]]="Main-d’œuvre",Lignes_hors_lot[[#This Row],[Quantité]]*Lignes_hors_lot[[#This Row],[Heures]],0))</f>
        <v>0</v>
      </c>
      <c r="O30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30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30" s="18">
        <f>IF(Lignes_hors_lot[[#This Row],[Rôle ou catégorie]]="","",Lignes_hors_lot[[#This Row],[Main-d’œuvre]]+Lignes_hors_lot[[#This Row],[Débours]])</f>
        <v>0</v>
      </c>
      <c r="R30" s="18"/>
      <c r="T30" s="16">
        <f>IF(Lignes_hors_lot[[#This Row],[Rôle ou catégorie]]="","",IFERROR(INDEX(Referentiel[[Type de nature]],MATCH(Lignes_hors_lot[[#This Row],[Rôle ou catégorie]],Referentiel[[Entrée]],0)),"?"))</f>
        <v>0</v>
      </c>
    </row>
    <row r="31" spans="1:20">
      <c r="A31" s="15"/>
      <c r="B31" s="16">
        <f>IF(Lignes_hors_lot[[#This Row],[Tâche]]="","",IFERROR(INDEX(Taches[[Description]],MATCH(Lignes_hors_lot[[#This Row],[Tâche]],Taches[[Entrée]],0)),""))</f>
        <v>0</v>
      </c>
      <c r="C31" s="15"/>
      <c r="D31" s="15"/>
      <c r="I31" s="15"/>
      <c r="J31" s="16">
        <f>IF(Lignes_hors_lot[[#This Row],[Rôle ou catégorie]]="","",IFERROR(INDEX(Referentiel[[Nature]],MATCH(Lignes_hors_lot[[#This Row],[Rôle ou catégorie]],Referentiel[[Entrée]],0)),"?"))</f>
        <v>0</v>
      </c>
      <c r="K31" s="16">
        <f>IF(Lignes_hors_lot[[#This Row],[Rôle ou catégorie]]="","",IFERROR(INDEX(Referentiel[[Code comptable]],MATCH(Lignes_hors_lot[[#This Row],[Rôle ou catégorie]],Referentiel[[Entrée]],0)),"?"))</f>
        <v>0</v>
      </c>
      <c r="L31" s="16">
        <f>IF(Lignes_hors_lot[[#This Row],[Rôle ou catégorie]]="","",IFERROR(INDEX(Referentiel[[Service]],MATCH(Lignes_hors_lot[[#This Row],[Rôle ou catégorie]],Referentiel[[Entrée]],0)),"?")&amp;"")</f>
        <v>0</v>
      </c>
      <c r="M31" s="16">
        <f>IF(Lignes_hors_lot[[#This Row],[Rôle ou catégorie]]="","",IFERROR(INDEX(Referentiel[[Taux horaire]],MATCH(Lignes_hors_lot[[#This Row],[Rôle ou catégorie]],Referentiel[[Entrée]],0)),"?"))</f>
        <v>0</v>
      </c>
      <c r="N31" s="17">
        <f>IF(Lignes_hors_lot[[#This Row],[Rôle ou catégorie]]="","",IF(Lignes_hors_lot[[#This Row],[Type]]="Main-d’œuvre",Lignes_hors_lot[[#This Row],[Quantité]]*Lignes_hors_lot[[#This Row],[Heures]],0))</f>
        <v>0</v>
      </c>
      <c r="O31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31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31" s="18">
        <f>IF(Lignes_hors_lot[[#This Row],[Rôle ou catégorie]]="","",Lignes_hors_lot[[#This Row],[Main-d’œuvre]]+Lignes_hors_lot[[#This Row],[Débours]])</f>
        <v>0</v>
      </c>
      <c r="R31" s="18"/>
      <c r="T31" s="16">
        <f>IF(Lignes_hors_lot[[#This Row],[Rôle ou catégorie]]="","",IFERROR(INDEX(Referentiel[[Type de nature]],MATCH(Lignes_hors_lot[[#This Row],[Rôle ou catégorie]],Referentiel[[Entrée]],0)),"?"))</f>
        <v>0</v>
      </c>
    </row>
    <row r="32" spans="1:20">
      <c r="A32" s="15"/>
      <c r="B32" s="16">
        <f>IF(Lignes_hors_lot[[#This Row],[Tâche]]="","",IFERROR(INDEX(Taches[[Description]],MATCH(Lignes_hors_lot[[#This Row],[Tâche]],Taches[[Entrée]],0)),""))</f>
        <v>0</v>
      </c>
      <c r="C32" s="15"/>
      <c r="D32" s="15"/>
      <c r="I32" s="15"/>
      <c r="J32" s="16">
        <f>IF(Lignes_hors_lot[[#This Row],[Rôle ou catégorie]]="","",IFERROR(INDEX(Referentiel[[Nature]],MATCH(Lignes_hors_lot[[#This Row],[Rôle ou catégorie]],Referentiel[[Entrée]],0)),"?"))</f>
        <v>0</v>
      </c>
      <c r="K32" s="16">
        <f>IF(Lignes_hors_lot[[#This Row],[Rôle ou catégorie]]="","",IFERROR(INDEX(Referentiel[[Code comptable]],MATCH(Lignes_hors_lot[[#This Row],[Rôle ou catégorie]],Referentiel[[Entrée]],0)),"?"))</f>
        <v>0</v>
      </c>
      <c r="L32" s="16">
        <f>IF(Lignes_hors_lot[[#This Row],[Rôle ou catégorie]]="","",IFERROR(INDEX(Referentiel[[Service]],MATCH(Lignes_hors_lot[[#This Row],[Rôle ou catégorie]],Referentiel[[Entrée]],0)),"?")&amp;"")</f>
        <v>0</v>
      </c>
      <c r="M32" s="16">
        <f>IF(Lignes_hors_lot[[#This Row],[Rôle ou catégorie]]="","",IFERROR(INDEX(Referentiel[[Taux horaire]],MATCH(Lignes_hors_lot[[#This Row],[Rôle ou catégorie]],Referentiel[[Entrée]],0)),"?"))</f>
        <v>0</v>
      </c>
      <c r="N32" s="17">
        <f>IF(Lignes_hors_lot[[#This Row],[Rôle ou catégorie]]="","",IF(Lignes_hors_lot[[#This Row],[Type]]="Main-d’œuvre",Lignes_hors_lot[[#This Row],[Quantité]]*Lignes_hors_lot[[#This Row],[Heures]],0))</f>
        <v>0</v>
      </c>
      <c r="O32" s="18">
        <f>IF(Lignes_hors_lot[[#This Row],[Rôle ou catégorie]]="","",IF(Lignes_hors_lot[[#This Row],[Type]]="Main-d’œuvre",Lignes_hors_lot[[#This Row],[Quantité]]*Lignes_hors_lot[[#This Row],[Heures]]*Lignes_hors_lot[[#This Row],[Taux horaire]],0))</f>
        <v>0</v>
      </c>
      <c r="P32" s="18">
        <f>IF(Lignes_hors_lot[[#This Row],[Rôle ou catégorie]]="","",IF(OR(Lignes_hors_lot[[#This Row],[Type]]="Hors main-d’œuvre",Lignes_hors_lot[[#This Row],[Type]]="Provision"),Lignes_hors_lot[[#This Row],[Quantité]]*Lignes_hors_lot[[#This Row],[Débours unitaire]],0))</f>
        <v>0</v>
      </c>
      <c r="Q32" s="18">
        <f>IF(Lignes_hors_lot[[#This Row],[Rôle ou catégorie]]="","",Lignes_hors_lot[[#This Row],[Main-d’œuvre]]+Lignes_hors_lot[[#This Row],[Débours]])</f>
        <v>0</v>
      </c>
      <c r="R32" s="18"/>
      <c r="T32" s="16">
        <f>IF(Lignes_hors_lot[[#This Row],[Rôle ou catégorie]]="","",IFERROR(INDEX(Referentiel[[Type de nature]],MATCH(Lignes_hors_lot[[#This Row],[Rôle ou catégorie]],Referentiel[[Entrée]],0)),"?"))</f>
        <v>0</v>
      </c>
    </row>
    <row r="33" spans="1:18">
      <c r="A33" s="15" t="s">
        <v>140</v>
      </c>
      <c r="N33" s="17">
        <f>SUBTOTAL(109,Lignes_hors_lot[[Heures totales]])</f>
        <v>0</v>
      </c>
      <c r="O33" s="18">
        <f>SUBTOTAL(109,Lignes_hors_lot[[Main-d’œuvre]])</f>
        <v>0</v>
      </c>
      <c r="P33" s="18">
        <f>SUBTOTAL(109,Lignes_hors_lot[[Débours]])</f>
        <v>0</v>
      </c>
      <c r="Q33" s="18">
        <f>SUBTOTAL(109,Lignes_hors_lot[[Montant]])</f>
        <v>0</v>
      </c>
      <c r="R33" s="18">
        <f>SUBTOTAL(109,Lignes_hors_lot[[Montant Waterfall]])</f>
        <v>0</v>
      </c>
    </row>
  </sheetData>
  <dataValidations count="3">
    <dataValidation type="list" allowBlank="1" showInputMessage="1" showErrorMessage="1" errorTitle="Tâche" error="Choisis une tâche de cet onglet (onglet Tâches)." sqref="A2:A1001">
      <formula1>'Tâches'!$A$17:$A$17</formula1>
    </dataValidation>
    <dataValidation type="list" allowBlank="1" showInputMessage="1" showErrorMessage="1" errorTitle="Rôle ou catégorie" error="Choisis un rôle ou une catégorie du référentiel." sqref="C2:C1001">
      <formula1>'Paramètres'!$A$5:$A$13</formula1>
    </dataValidation>
    <dataValidation type="list" allowBlank="1" showInputMessage="1" showErrorMessage="1" sqref="I2:I1001">
      <formula1>'Paramètres'!$K$5:$K$6</formula1>
    </dataValidation>
  </dataValidations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40.7109375" customWidth="1"/>
    <col min="2" max="2" width="10.7109375" customWidth="1"/>
    <col min="3" max="3" width="8.7109375" customWidth="1"/>
    <col min="4" max="4" width="34.7109375" customWidth="1"/>
    <col min="5" max="5" width="26.7109375" customWidth="1"/>
    <col min="6" max="7" width="11.7109375" customWidth="1"/>
    <col min="8" max="8" width="50.7109375" customWidth="1"/>
  </cols>
  <sheetData>
    <row r="1" spans="1:8">
      <c r="A1" s="3" t="s">
        <v>59</v>
      </c>
    </row>
    <row r="4" spans="1:8">
      <c r="A4" t="s">
        <v>2</v>
      </c>
      <c r="B4" t="s">
        <v>60</v>
      </c>
      <c r="C4" t="s">
        <v>61</v>
      </c>
      <c r="D4" t="s">
        <v>5</v>
      </c>
      <c r="E4" t="s">
        <v>62</v>
      </c>
      <c r="F4" t="s">
        <v>63</v>
      </c>
      <c r="G4" t="s">
        <v>64</v>
      </c>
      <c r="H4" t="s">
        <v>65</v>
      </c>
    </row>
    <row r="5" spans="1:8">
      <c r="A5" t="s">
        <v>66</v>
      </c>
      <c r="B5" t="s">
        <v>67</v>
      </c>
      <c r="C5" t="s">
        <v>68</v>
      </c>
      <c r="D5" t="s">
        <v>69</v>
      </c>
      <c r="E5" t="s">
        <v>66</v>
      </c>
      <c r="F5" t="s">
        <v>70</v>
      </c>
      <c r="G5" t="s">
        <v>71</v>
      </c>
    </row>
    <row r="6" spans="1:8">
      <c r="A6" t="s">
        <v>72</v>
      </c>
      <c r="B6" t="s">
        <v>73</v>
      </c>
      <c r="C6" t="s">
        <v>74</v>
      </c>
      <c r="D6" t="s">
        <v>75</v>
      </c>
      <c r="E6" t="s">
        <v>66</v>
      </c>
      <c r="F6" t="s">
        <v>70</v>
      </c>
      <c r="G6" t="s">
        <v>71</v>
      </c>
      <c r="H6" t="s">
        <v>76</v>
      </c>
    </row>
    <row r="7" spans="1:8">
      <c r="A7" t="s">
        <v>77</v>
      </c>
      <c r="B7" t="s">
        <v>78</v>
      </c>
      <c r="C7" t="s">
        <v>79</v>
      </c>
      <c r="D7" t="s">
        <v>80</v>
      </c>
      <c r="E7" t="s">
        <v>66</v>
      </c>
      <c r="F7" t="s">
        <v>81</v>
      </c>
      <c r="G7" t="s">
        <v>82</v>
      </c>
      <c r="H7" t="s">
        <v>83</v>
      </c>
    </row>
    <row r="8" spans="1:8">
      <c r="A8" t="s">
        <v>84</v>
      </c>
      <c r="B8" t="s">
        <v>85</v>
      </c>
      <c r="C8" t="s">
        <v>86</v>
      </c>
      <c r="D8" t="s">
        <v>87</v>
      </c>
      <c r="E8" t="s">
        <v>66</v>
      </c>
      <c r="F8" t="s">
        <v>81</v>
      </c>
      <c r="G8" t="s">
        <v>88</v>
      </c>
      <c r="H8" t="s">
        <v>89</v>
      </c>
    </row>
    <row r="9" spans="1:8">
      <c r="A9" t="s">
        <v>90</v>
      </c>
      <c r="B9" t="s">
        <v>91</v>
      </c>
      <c r="C9" t="s">
        <v>92</v>
      </c>
      <c r="D9" t="s">
        <v>93</v>
      </c>
      <c r="E9" t="s">
        <v>90</v>
      </c>
      <c r="F9" t="s">
        <v>94</v>
      </c>
      <c r="G9" t="s">
        <v>95</v>
      </c>
    </row>
    <row r="10" spans="1:8">
      <c r="A10" t="s">
        <v>96</v>
      </c>
      <c r="B10" t="s">
        <v>97</v>
      </c>
      <c r="C10" t="s">
        <v>98</v>
      </c>
      <c r="D10" t="s">
        <v>99</v>
      </c>
      <c r="E10" t="s">
        <v>90</v>
      </c>
      <c r="F10" t="s">
        <v>94</v>
      </c>
      <c r="G10" t="s">
        <v>82</v>
      </c>
      <c r="H10" t="s">
        <v>100</v>
      </c>
    </row>
    <row r="11" spans="1:8">
      <c r="A11" t="s">
        <v>101</v>
      </c>
      <c r="B11" t="s">
        <v>102</v>
      </c>
      <c r="C11" t="s">
        <v>103</v>
      </c>
      <c r="D11" t="s">
        <v>104</v>
      </c>
      <c r="E11" t="s">
        <v>90</v>
      </c>
      <c r="F11" t="s">
        <v>105</v>
      </c>
      <c r="G11" t="s">
        <v>95</v>
      </c>
      <c r="H11" t="s">
        <v>106</v>
      </c>
    </row>
    <row r="12" spans="1:8">
      <c r="A12" t="s">
        <v>107</v>
      </c>
      <c r="B12" t="s">
        <v>108</v>
      </c>
      <c r="C12" t="s">
        <v>109</v>
      </c>
      <c r="D12" t="s">
        <v>110</v>
      </c>
      <c r="E12" t="s">
        <v>107</v>
      </c>
      <c r="F12" t="s">
        <v>70</v>
      </c>
      <c r="G12" t="s">
        <v>95</v>
      </c>
    </row>
    <row r="13" spans="1:8">
      <c r="A13" t="s">
        <v>111</v>
      </c>
      <c r="B13" t="s">
        <v>112</v>
      </c>
      <c r="C13" t="s">
        <v>113</v>
      </c>
      <c r="D13" t="s">
        <v>114</v>
      </c>
      <c r="E13" t="s">
        <v>107</v>
      </c>
      <c r="F13" t="s">
        <v>115</v>
      </c>
      <c r="G13" t="s">
        <v>116</v>
      </c>
      <c r="H13" t="s">
        <v>117</v>
      </c>
    </row>
    <row r="14" spans="1:8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</row>
    <row r="15" spans="1:8">
      <c r="A15" t="s">
        <v>122</v>
      </c>
      <c r="B15" t="s">
        <v>125</v>
      </c>
      <c r="C15" t="s">
        <v>126</v>
      </c>
      <c r="D15" t="s">
        <v>127</v>
      </c>
      <c r="E15" t="s">
        <v>122</v>
      </c>
      <c r="F15" t="s">
        <v>123</v>
      </c>
      <c r="G15" t="s">
        <v>124</v>
      </c>
    </row>
    <row r="16" spans="1:8">
      <c r="A16" t="s">
        <v>128</v>
      </c>
      <c r="B16" t="s">
        <v>129</v>
      </c>
      <c r="C16" t="s">
        <v>130</v>
      </c>
      <c r="D16" t="s">
        <v>131</v>
      </c>
      <c r="E16" t="s">
        <v>122</v>
      </c>
      <c r="F16" t="s">
        <v>123</v>
      </c>
      <c r="G16" t="s">
        <v>132</v>
      </c>
      <c r="H16" t="s">
        <v>133</v>
      </c>
    </row>
    <row r="17" spans="1:8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70</v>
      </c>
      <c r="G17" t="s">
        <v>124</v>
      </c>
      <c r="H17" t="s">
        <v>139</v>
      </c>
    </row>
  </sheetData>
  <sheetProtection sheet="1" objects="1" scenarios="1" sort="0" autoFilter="0"/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" width="34.7109375" customWidth="1"/>
    <col min="2" max="3" width="10.7109375" customWidth="1"/>
    <col min="4" max="4" width="26.7109375" customWidth="1"/>
    <col min="5" max="5" width="24.7109375" customWidth="1"/>
    <col min="6" max="6" width="22.7109375" customWidth="1"/>
    <col min="7" max="7" width="18.7109375" customWidth="1"/>
    <col min="8" max="8" width="14.7109375" customWidth="1"/>
    <col min="9" max="9" width="11.7109375" customWidth="1"/>
    <col min="10" max="10" width="2.7109375" customWidth="1"/>
    <col min="11" max="11" width="10.7109375" customWidth="1"/>
    <col min="12" max="12" width="16.7109375" customWidth="1"/>
  </cols>
  <sheetData>
    <row r="1" spans="1:12">
      <c r="A1" s="3" t="s">
        <v>0</v>
      </c>
    </row>
    <row r="2" spans="1:12">
      <c r="A2" s="19" t="s">
        <v>1</v>
      </c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K4" t="s">
        <v>4</v>
      </c>
      <c r="L4" t="s">
        <v>5</v>
      </c>
    </row>
    <row r="5" spans="1:1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16</v>
      </c>
      <c r="H5" t="s">
        <v>17</v>
      </c>
      <c r="I5">
        <v>100</v>
      </c>
      <c r="K5" t="s">
        <v>55</v>
      </c>
      <c r="L5" t="s">
        <v>56</v>
      </c>
    </row>
    <row r="6" spans="1:12">
      <c r="A6" t="s">
        <v>18</v>
      </c>
      <c r="B6" t="s">
        <v>12</v>
      </c>
      <c r="C6" t="s">
        <v>19</v>
      </c>
      <c r="D6" t="s">
        <v>20</v>
      </c>
      <c r="E6" t="s">
        <v>15</v>
      </c>
      <c r="F6" t="s">
        <v>16</v>
      </c>
      <c r="G6" t="s">
        <v>16</v>
      </c>
      <c r="H6" t="s">
        <v>21</v>
      </c>
      <c r="I6">
        <v>60</v>
      </c>
      <c r="K6" t="s">
        <v>57</v>
      </c>
      <c r="L6" t="s">
        <v>58</v>
      </c>
    </row>
    <row r="7" spans="1:12">
      <c r="A7" t="s">
        <v>22</v>
      </c>
      <c r="B7" t="s">
        <v>12</v>
      </c>
      <c r="C7" t="s">
        <v>23</v>
      </c>
      <c r="D7" t="s">
        <v>24</v>
      </c>
      <c r="E7" t="s">
        <v>25</v>
      </c>
      <c r="F7" t="s">
        <v>16</v>
      </c>
      <c r="G7" t="s">
        <v>16</v>
      </c>
      <c r="H7" t="s">
        <v>26</v>
      </c>
      <c r="I7">
        <v>80</v>
      </c>
    </row>
    <row r="8" spans="1:12">
      <c r="A8" t="s">
        <v>27</v>
      </c>
      <c r="B8" t="s">
        <v>12</v>
      </c>
      <c r="C8" t="s">
        <v>28</v>
      </c>
      <c r="D8" t="s">
        <v>29</v>
      </c>
      <c r="E8" t="s">
        <v>25</v>
      </c>
      <c r="F8" t="s">
        <v>16</v>
      </c>
      <c r="G8" t="s">
        <v>16</v>
      </c>
      <c r="H8" t="s">
        <v>21</v>
      </c>
      <c r="I8">
        <v>60</v>
      </c>
    </row>
    <row r="9" spans="1:12">
      <c r="A9" t="s">
        <v>30</v>
      </c>
      <c r="B9" t="s">
        <v>12</v>
      </c>
      <c r="C9" t="s">
        <v>31</v>
      </c>
      <c r="D9" t="s">
        <v>32</v>
      </c>
      <c r="E9" t="s">
        <v>33</v>
      </c>
      <c r="F9" t="s">
        <v>16</v>
      </c>
      <c r="G9" t="s">
        <v>16</v>
      </c>
      <c r="H9" t="s">
        <v>26</v>
      </c>
      <c r="I9">
        <v>80</v>
      </c>
    </row>
    <row r="10" spans="1:12">
      <c r="A10" t="s">
        <v>34</v>
      </c>
      <c r="B10" t="s">
        <v>12</v>
      </c>
      <c r="C10" t="s">
        <v>35</v>
      </c>
      <c r="D10" t="s">
        <v>36</v>
      </c>
      <c r="E10" t="s">
        <v>33</v>
      </c>
      <c r="F10" t="s">
        <v>16</v>
      </c>
      <c r="G10" t="s">
        <v>16</v>
      </c>
      <c r="H10" t="s">
        <v>21</v>
      </c>
      <c r="I10">
        <v>60</v>
      </c>
    </row>
    <row r="11" spans="1:12">
      <c r="A11" t="s">
        <v>37</v>
      </c>
      <c r="B11" t="s">
        <v>38</v>
      </c>
      <c r="C11" t="s">
        <v>39</v>
      </c>
      <c r="D11" t="s">
        <v>40</v>
      </c>
      <c r="F11" t="s">
        <v>41</v>
      </c>
      <c r="G11" t="s">
        <v>42</v>
      </c>
      <c r="H11" t="s">
        <v>39</v>
      </c>
    </row>
    <row r="12" spans="1:12">
      <c r="A12" t="s">
        <v>43</v>
      </c>
      <c r="B12" t="s">
        <v>38</v>
      </c>
      <c r="C12" t="s">
        <v>44</v>
      </c>
      <c r="D12" t="s">
        <v>45</v>
      </c>
      <c r="F12" t="s">
        <v>41</v>
      </c>
      <c r="G12" t="s">
        <v>42</v>
      </c>
      <c r="H12" t="s">
        <v>44</v>
      </c>
    </row>
    <row r="13" spans="1:12">
      <c r="A13" t="s">
        <v>46</v>
      </c>
      <c r="B13" t="s">
        <v>38</v>
      </c>
      <c r="C13" t="s">
        <v>47</v>
      </c>
      <c r="D13" t="s">
        <v>48</v>
      </c>
      <c r="F13" t="s">
        <v>49</v>
      </c>
      <c r="G13" t="s">
        <v>42</v>
      </c>
      <c r="H13" t="s">
        <v>47</v>
      </c>
    </row>
    <row r="14" spans="1:12">
      <c r="A14" t="s">
        <v>50</v>
      </c>
      <c r="B14" t="s">
        <v>38</v>
      </c>
      <c r="C14" t="s">
        <v>51</v>
      </c>
      <c r="D14" t="s">
        <v>52</v>
      </c>
      <c r="F14" t="s">
        <v>53</v>
      </c>
      <c r="G14" t="s">
        <v>54</v>
      </c>
      <c r="H14" t="s">
        <v>51</v>
      </c>
    </row>
  </sheetData>
  <sheetProtection sheet="1" objects="1" scenarios="1" sort="0" autoFilter="0"/>
  <pageMargins left="0.7" right="0.7" top="0.75" bottom="0.75" header="0.3" footer="0.3"/>
  <headerFooter>
    <oddFooter>&amp;L&amp;8© 2026 Exemple Industrie — Généré par Waterfall le 2026-10-22 14:05 — logiciel libre sous licence AGPL-3.0 — www.waterfall-project.pro&amp;R&amp;8Page &amp;P / &amp;N</oddFooter>
  </headerFooter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Présentation</vt:lpstr>
      <vt:lpstr>Devis</vt:lpstr>
      <vt:lpstr>1.1 Centrale et logiciel</vt:lpstr>
      <vt:lpstr>1.2 Lecteurs et câblage</vt:lpstr>
      <vt:lpstr>1 Contrôle d’accès</vt:lpstr>
      <vt:lpstr>2.1 Essais sur site</vt:lpstr>
      <vt:lpstr>Hors lot</vt:lpstr>
      <vt:lpstr>Tâches</vt:lpstr>
      <vt:lpstr>Paramètres</vt:lpstr>
      <vt:lpstr>Présentation!Print_Area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Devis — AFF-2026-014</dc:title>
  <dc:creator>Waterfall</dc:creator>
  <cp:lastModifiedBy>Waterfall</cp:lastModifiedBy>
  <dcterms:created xsi:type="dcterms:W3CDTF">2026-10-22T10:05:24Z</dcterms:created>
  <dcterms:modified xsi:type="dcterms:W3CDTF">2026-10-22T10:05:24Z</dcterms:modified>
</cp:coreProperties>
</file>