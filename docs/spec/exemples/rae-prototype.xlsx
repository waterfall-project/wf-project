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èse" sheetId="1" r:id="rId1"/>
    <sheet name="SP-PRE" sheetId="2" r:id="rId2"/>
    <sheet name="SP-MAT" sheetId="3" r:id="rId3"/>
    <sheet name="Hors sous-projet" sheetId="4" r:id="rId4"/>
    <sheet name="Tâches" sheetId="5" r:id="rId5"/>
    <sheet name="Paramètres" sheetId="6" r:id="rId6"/>
  </sheets>
  <definedNames>
    <definedName name="HeuresParJour">'Paramètres'!$B$2</definedName>
    <definedName name="_xlnm.Print_Area" localSheetId="0">Synthèse!$A$1:$N$23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Format et version, lus à l’import (annexe B) : ne pas modifier.</t>
        </r>
      </text>
    </comment>
  </commentList>
</comments>
</file>

<file path=xl/sharedStrings.xml><?xml version="1.0" encoding="utf-8"?>
<sst xmlns="http://schemas.openxmlformats.org/spreadsheetml/2006/main" count="286" uniqueCount="145">
  <si>
    <t>Référentiel de la révision : écrit par l’export, ignoré à l’import.</t>
  </si>
  <si>
    <t>Heures par jour</t>
  </si>
  <si>
    <t>Entrée</t>
  </si>
  <si>
    <t>Genre</t>
  </si>
  <si>
    <t>Code</t>
  </si>
  <si>
    <t>Libellé</t>
  </si>
  <si>
    <t>Service</t>
  </si>
  <si>
    <t>Nature</t>
  </si>
  <si>
    <t>Type de nature</t>
  </si>
  <si>
    <t>Code comptable</t>
  </si>
  <si>
    <t>Taux horaire</t>
  </si>
  <si>
    <t>Responsable d’affaire A1 (RA-A1)</t>
  </si>
  <si>
    <t>Rôle</t>
  </si>
  <si>
    <t>RA-A1</t>
  </si>
  <si>
    <t>Responsable d’affaire A1</t>
  </si>
  <si>
    <t>Affaires › Activité 1</t>
  </si>
  <si>
    <t>Main-d’œuvre</t>
  </si>
  <si>
    <t>I810</t>
  </si>
  <si>
    <t>Ingénieur qualité A1 (IQ-A1)</t>
  </si>
  <si>
    <t>IQ-A1</t>
  </si>
  <si>
    <t>Ingénieur qualité A1</t>
  </si>
  <si>
    <t>I1M2</t>
  </si>
  <si>
    <t>Architecte logiciel (ARCH-LOG)</t>
  </si>
  <si>
    <t>ARCH-LOG</t>
  </si>
  <si>
    <t>Architecte logiciel</t>
  </si>
  <si>
    <t>Ingénierie › Logiciel</t>
  </si>
  <si>
    <t>I329</t>
  </si>
  <si>
    <t>Développeur (DEV)</t>
  </si>
  <si>
    <t>DEV</t>
  </si>
  <si>
    <t>Développeur</t>
  </si>
  <si>
    <t>Architecte électronique (ARCH-ELEC)</t>
  </si>
  <si>
    <t>ARCH-ELEC</t>
  </si>
  <si>
    <t>Architecte électronique</t>
  </si>
  <si>
    <t>Ingénierie › Électronique</t>
  </si>
  <si>
    <t>Ingénieur carte (ING-CARTE)</t>
  </si>
  <si>
    <t>ING-CARTE</t>
  </si>
  <si>
    <t>Ingénieur carte</t>
  </si>
  <si>
    <t>Anti-intrusion (fo-AINT)</t>
  </si>
  <si>
    <t>Catégorie</t>
  </si>
  <si>
    <t>fo-AINT</t>
  </si>
  <si>
    <t>Anti-intrusion</t>
  </si>
  <si>
    <t>Fournitures</t>
  </si>
  <si>
    <t>Hors main-d’œuvre</t>
  </si>
  <si>
    <t>Appareillage (fo-APPA)</t>
  </si>
  <si>
    <t>fo-APPA</t>
  </si>
  <si>
    <t>Appareillage</t>
  </si>
  <si>
    <t>Pose sur site (st-POSE)</t>
  </si>
  <si>
    <t>st-POSE</t>
  </si>
  <si>
    <t>Pose sur site</t>
  </si>
  <si>
    <t>Sous-traitance</t>
  </si>
  <si>
    <t>Tâches non terminées par sous-projet : la liste de chaque onglet.</t>
  </si>
  <si>
    <t>ID tâche</t>
  </si>
  <si>
    <t>Sous-projet</t>
  </si>
  <si>
    <t>État</t>
  </si>
  <si>
    <t>Coefficient</t>
  </si>
  <si>
    <t>Description</t>
  </si>
  <si>
    <t>1.1.1 Management</t>
  </si>
  <si>
    <t>t-0011</t>
  </si>
  <si>
    <t>SP-PRE</t>
  </si>
  <si>
    <t>démarrée</t>
  </si>
  <si>
    <t>Pilotage, réunions d’avancement et compte rendu au client</t>
  </si>
  <si>
    <t>1.1.2 Développement du logiciel</t>
  </si>
  <si>
    <t>t-0012</t>
  </si>
  <si>
    <t>Logiciel de la centrale : gestion des badges et des droits d’accès</t>
  </si>
  <si>
    <t>1.2.2 Câblage</t>
  </si>
  <si>
    <t>t-0022</t>
  </si>
  <si>
    <t>non démarrée</t>
  </si>
  <si>
    <t>Tirage des câbles et raccordement des lecteurs</t>
  </si>
  <si>
    <t>2.1.1 Essais</t>
  </si>
  <si>
    <t>t-0031</t>
  </si>
  <si>
    <t>Essais d’intégration et recette sur site</t>
  </si>
  <si>
    <t>1.2.1 Approvisionnement des lecteurs</t>
  </si>
  <si>
    <t>t-0021</t>
  </si>
  <si>
    <t>SP-MAT</t>
  </si>
  <si>
    <t>Achat et réception des lecteurs de badges</t>
  </si>
  <si>
    <t>3 Gestion de projet</t>
  </si>
  <si>
    <t>t-0005</t>
  </si>
  <si>
    <t>Hors sous-projet</t>
  </si>
  <si>
    <t>Gestion de projet transverse</t>
  </si>
  <si>
    <t>SP-PRE Prestations</t>
  </si>
  <si>
    <t>Revue du 2027-02-15 — une ligne par rôle ou par débours, comme au devis. La main-d’œuvre se saisit en jours de 8 heures, un débours en montant.</t>
  </si>
  <si>
    <t>Budget du sous-projet</t>
  </si>
  <si>
    <t>Coûts réels imputés</t>
  </si>
  <si>
    <t>Reste à engager du tableau</t>
  </si>
  <si>
    <t>Provisions des risques identifiés</t>
  </si>
  <si>
    <t>Reste à engager</t>
  </si>
  <si>
    <t>Projection (coûts réels + reste)</t>
  </si>
  <si>
    <t>Écart au budget</t>
  </si>
  <si>
    <t>Avancement financier</t>
  </si>
  <si>
    <t>Reste au 2027-02-15</t>
  </si>
  <si>
    <t>Total</t>
  </si>
  <si>
    <t>Tâche</t>
  </si>
  <si>
    <t>Description de la tâche</t>
  </si>
  <si>
    <t>Rôle ou catégorie</t>
  </si>
  <si>
    <t>Désignation</t>
  </si>
  <si>
    <t>Budget</t>
  </si>
  <si>
    <t>Reste précédent</t>
  </si>
  <si>
    <t>Jours restants</t>
  </si>
  <si>
    <t>Débours restant</t>
  </si>
  <si>
    <t>Débours</t>
  </si>
  <si>
    <t>Type</t>
  </si>
  <si>
    <t>ID ligne</t>
  </si>
  <si>
    <t>l-0101</t>
  </si>
  <si>
    <t>l-0102</t>
  </si>
  <si>
    <t>l-0103</t>
  </si>
  <si>
    <t>Commande 4500000102 — recette externe</t>
  </si>
  <si>
    <t>l-0106</t>
  </si>
  <si>
    <t>l-0203</t>
  </si>
  <si>
    <t>l-0401</t>
  </si>
  <si>
    <t>l-0402</t>
  </si>
  <si>
    <t>Les tâches terminées ne sont pas dans le fichier. Une tâche dont tout le reste vaut zéro est terminée à la date de la revue.</t>
  </si>
  <si>
    <t>© 2027 Exemple Industrie — Généré par Waterfall le 2027-02-15 — logiciel libre sous licence AGPL-3.0 — www.waterfall-project.pro</t>
  </si>
  <si>
    <t>SP-MAT Matériel</t>
  </si>
  <si>
    <t>Commande 4500000101 — lecteurs, lot 1</t>
  </si>
  <si>
    <t>l-0201</t>
  </si>
  <si>
    <t>Commande 4500000103 — lecteurs, lot 2</t>
  </si>
  <si>
    <t>l-0204</t>
  </si>
  <si>
    <t>l-0501</t>
  </si>
  <si>
    <t>Format</t>
  </si>
  <si>
    <t>Version</t>
  </si>
  <si>
    <t>A.ABC.26001 — Contrôle d’accès du site de Lyon</t>
  </si>
  <si>
    <t>Entreprise</t>
  </si>
  <si>
    <t>Exemple Industrie</t>
  </si>
  <si>
    <t>Client</t>
  </si>
  <si>
    <t>Client Exemple</t>
  </si>
  <si>
    <t>Révision</t>
  </si>
  <si>
    <t>Revue de février (en cours)</t>
  </si>
  <si>
    <t>Revue du</t>
  </si>
  <si>
    <t>2027-02-15</t>
  </si>
  <si>
    <t>Structure</t>
  </si>
  <si>
    <t>Structure principale</t>
  </si>
  <si>
    <t>Devise</t>
  </si>
  <si>
    <t>EUR</t>
  </si>
  <si>
    <t>Ventilation du reste à engager</t>
  </si>
  <si>
    <t>Coûts réels</t>
  </si>
  <si>
    <t>Projection</t>
  </si>
  <si>
    <t>Reste — Main-d’œuvre</t>
  </si>
  <si>
    <t>Reste — Fournitures</t>
  </si>
  <si>
    <t>Reste — Sous-traitance</t>
  </si>
  <si>
    <t>Reste — Provisions pour risques</t>
  </si>
  <si>
    <t>Jours I810</t>
  </si>
  <si>
    <t>Jours I329</t>
  </si>
  <si>
    <t>Jours I1M2</t>
  </si>
  <si>
    <t>Projet</t>
  </si>
  <si>
    <t>Écart signé dans le sens de la dérive : positif quand le sous-projet coûte plus que son budget (WF-RAE-0020). Avancement financier : coûts réels sur projection (WF-IND-0040).</t>
  </si>
</sst>
</file>

<file path=xl/styles.xml><?xml version="1.0" encoding="utf-8"?>
<styleSheet xmlns="http://schemas.openxmlformats.org/spreadsheetml/2006/main">
  <numFmts count="4">
    <numFmt numFmtId="164" formatCode="#,##0.00 &quot;€&quot;"/>
    <numFmt numFmtId="165" formatCode="0.0 %"/>
    <numFmt numFmtId="166" formatCode="#,##0.0"/>
    <numFmt numFmtId="167" formatCode="@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sz val="8"/>
      <color rgb="FF666666"/>
      <name val="Calibri"/>
      <family val="2"/>
      <scheme val="minor"/>
    </font>
    <font>
      <sz val="11"/>
      <color rgb="FF555555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vertical="top" wrapText="1"/>
    </xf>
    <xf numFmtId="164" fontId="0" fillId="0" borderId="0" xfId="0" applyNumberFormat="1"/>
    <xf numFmtId="165" fontId="0" fillId="0" borderId="0" xfId="0" applyNumberFormat="1" applyAlignment="1">
      <alignment horizontal="right"/>
    </xf>
    <xf numFmtId="166" fontId="0" fillId="0" borderId="0" xfId="0" applyNumberFormat="1"/>
    <xf numFmtId="164" fontId="2" fillId="0" borderId="0" xfId="0" applyNumberFormat="1" applyFont="1"/>
    <xf numFmtId="165" fontId="2" fillId="0" borderId="0" xfId="0" applyNumberFormat="1" applyFont="1" applyAlignment="1">
      <alignment horizontal="right"/>
    </xf>
    <xf numFmtId="166" fontId="2" fillId="0" borderId="0" xfId="0" applyNumberFormat="1" applyFont="1"/>
    <xf numFmtId="0" fontId="3" fillId="0" borderId="0" xfId="0" applyFont="1"/>
    <xf numFmtId="0" fontId="4" fillId="0" borderId="0" xfId="0" applyFont="1"/>
    <xf numFmtId="167" fontId="0" fillId="0" borderId="0" xfId="0" applyNumberFormat="1"/>
    <xf numFmtId="0" fontId="5" fillId="3" borderId="0" xfId="0" applyFont="1" applyFill="1"/>
    <xf numFmtId="164" fontId="5" fillId="3" borderId="0" xfId="0" applyNumberFormat="1" applyFont="1" applyFill="1"/>
  </cellXfs>
  <cellStyles count="1">
    <cellStyle name="Normal" xfId="0" builtinId="0"/>
  </cellStyles>
  <dxfs count="5">
    <dxf>
      <numFmt numFmtId="167" formatCode="@"/>
    </dxf>
    <dxf>
      <font>
        <color rgb="FF555555"/>
      </font>
      <fill>
        <patternFill>
          <bgColor rgb="FFEEEEEE"/>
        </patternFill>
      </fill>
    </dxf>
    <dxf>
      <font>
        <color rgb="FF555555"/>
      </font>
      <numFmt numFmtId="164" formatCode="#,##0.00 &quot;€&quot;"/>
      <fill>
        <patternFill>
          <bgColor rgb="FFEEEEEE"/>
        </patternFill>
      </fill>
    </dxf>
    <dxf>
      <numFmt numFmtId="166" formatCode="#,##0.0"/>
    </dxf>
    <dxf>
      <numFmt numFmtId="164" formatCode="#,##0.00 &quot;€&quot;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0</xdr:colOff>
      <xdr:row>0</xdr:row>
      <xdr:rowOff>38100</xdr:rowOff>
    </xdr:from>
    <xdr:to>
      <xdr:col>6</xdr:col>
      <xdr:colOff>148590</xdr:colOff>
      <xdr:row>3</xdr:row>
      <xdr:rowOff>51435</xdr:rowOff>
    </xdr:to>
    <xdr:pic>
      <xdr:nvPicPr>
        <xdr:cNvPr id="2" name="Picture 1" descr="Waterfal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1125" y="38100"/>
          <a:ext cx="2244090" cy="58483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RAE_SP_PRE" displayName="RAE_SP_PRE" ref="A15:S33" totalsRowCount="1">
  <autoFilter ref="A15:S32"/>
  <tableColumns count="19">
    <tableColumn id="1" name="Tâche" totalsRowLabel="Total" dataDxfId="0"/>
    <tableColumn id="2" name="Description de la tâche" dataDxfId="1">
      <calculatedColumnFormula>IF(RAE_SP_PRE[[#This Row],[Tâche]]="","",IFERROR(INDEX(Taches[[Description]],MATCH(RAE_SP_PRE[[#This Row],[Tâche]],Taches[[Entrée]],0)),""))</calculatedColumnFormula>
    </tableColumn>
    <tableColumn id="3" name="État" dataDxfId="1">
      <calculatedColumnFormula>IF(RAE_SP_PRE[[#This Row],[Tâche]]="","",IFERROR(INDEX(Taches[[État]],MATCH(RAE_SP_PRE[[#This Row],[Tâche]],Taches[[Entrée]],0)),""))</calculatedColumnFormula>
    </tableColumn>
    <tableColumn id="4" name="Rôle ou catégorie" dataDxfId="0"/>
    <tableColumn id="5" name="Désignation" dataDxfId="0"/>
    <tableColumn id="6" name="Budget" totalsRowFunction="custom" dataDxfId="2">
      <totalsRowFormula>SUBTOTAL(109,RAE_SP_PRE[[Budget]])</totalsRowFormula>
    </tableColumn>
    <tableColumn id="7" name="Reste précédent" totalsRowFunction="custom" dataDxfId="2">
      <totalsRowFormula>SUBTOTAL(109,RAE_SP_PRE[[Reste précédent]])</totalsRowFormula>
    </tableColumn>
    <tableColumn id="8" name="Jours restants" totalsRowFunction="custom" dataDxfId="3">
      <totalsRowFormula>SUBTOTAL(109,RAE_SP_PRE[[Jours restants]])</totalsRowFormula>
    </tableColumn>
    <tableColumn id="9" name="Débours restant" totalsRowFunction="custom" dataDxfId="4">
      <totalsRowFormula>SUBTOTAL(109,RAE_SP_PRE[[Débours restant]])</totalsRowFormula>
    </tableColumn>
    <tableColumn id="10" name="Nature" dataDxfId="1">
      <calculatedColumnFormula>IF(RAE_SP_PRE[[#This Row],[Rôle ou catégorie]]="","",IFERROR(INDEX(Referentiel[[Nature]],MATCH(RAE_SP_PRE[[#This Row],[Rôle ou catégorie]],Referentiel[[Entrée]],0)),"?"))</calculatedColumnFormula>
    </tableColumn>
    <tableColumn id="11" name="Code comptable" dataDxfId="1">
      <calculatedColumnFormula>IF(RAE_SP_PRE[[#This Row],[Rôle ou catégorie]]="","",IFERROR(INDEX(Referentiel[[Code comptable]],MATCH(RAE_SP_PRE[[#This Row],[Rôle ou catégorie]],Referentiel[[Entrée]],0)),"?"))</calculatedColumnFormula>
    </tableColumn>
    <tableColumn id="12" name="Service" dataDxfId="1">
      <calculatedColumnFormula>IF(RAE_SP_PRE[[#This Row],[Rôle ou catégorie]]="","",IFERROR(INDEX(Referentiel[[Service]],MATCH(RAE_SP_PRE[[#This Row],[Rôle ou catégorie]],Referentiel[[Entrée]],0)),"?")&amp;"")</calculatedColumnFormula>
    </tableColumn>
    <tableColumn id="13" name="Taux horaire" dataDxfId="1">
      <calculatedColumnFormula>IF(RAE_SP_PRE[[#This Row],[Rôle ou catégorie]]="","",IFERROR(INDEX(Referentiel[[Taux horaire]],MATCH(RAE_SP_PRE[[#This Row],[Rôle ou catégorie]],Referentiel[[Entrée]],0)),"?"))</calculatedColumnFormula>
    </tableColumn>
    <tableColumn id="14" name="Main-d’œuvre" totalsRowFunction="custom" dataDxfId="2">
      <calculatedColumnFormula>IF(RAE_SP_PRE[[#This Row],[Rôle ou catégorie]]="","",IF(RAE_SP_PRE[[#This Row],[Type]]="Main-d’œuvre",N(RAE_SP_PRE[[#This Row],[Jours restants]])*HeuresParJour*RAE_SP_PRE[[#This Row],[Taux horaire]]*RAE_SP_PRE[[#This Row],[Coefficient]],0))</calculatedColumnFormula>
      <totalsRowFormula>SUBTOTAL(109,RAE_SP_PRE[[Main-d’œuvre]])</totalsRowFormula>
    </tableColumn>
    <tableColumn id="15" name="Débours" totalsRowFunction="custom" dataDxfId="2">
      <calculatedColumnFormula>IF(RAE_SP_PRE[[#This Row],[Rôle ou catégorie]]="","",IF(RAE_SP_PRE[[#This Row],[Type]]="Hors main-d’œuvre",N(RAE_SP_PRE[[#This Row],[Débours restant]]),0))</calculatedColumnFormula>
      <totalsRowFormula>SUBTOTAL(109,RAE_SP_PRE[[Débours]])</totalsRowFormula>
    </tableColumn>
    <tableColumn id="16" name="Reste à engager" totalsRowFunction="custom" dataDxfId="2">
      <calculatedColumnFormula>IF(RAE_SP_PRE[[#This Row],[Rôle ou catégorie]]="","",RAE_SP_PRE[[#This Row],[Main-d’œuvre]]+RAE_SP_PRE[[#This Row],[Débours]])</calculatedColumnFormula>
      <totalsRowFormula>SUBTOTAL(109,RAE_SP_PRE[[Reste à engager]])</totalsRowFormula>
    </tableColumn>
    <tableColumn id="17" name="Type" dataDxfId="1">
      <calculatedColumnFormula>IF(RAE_SP_PRE[[#This Row],[Rôle ou catégorie]]="","",IFERROR(INDEX(Referentiel[[Type de nature]],MATCH(RAE_SP_PRE[[#This Row],[Rôle ou catégorie]],Referentiel[[Entrée]],0)),"?"))</calculatedColumnFormula>
    </tableColumn>
    <tableColumn id="18" name="Coefficient" dataDxfId="1">
      <calculatedColumnFormula>IFERROR(INDEX(Taches[[Coefficient]],MATCH(RAE_SP_PRE[[#This Row],[Tâche]],Taches[[Entrée]],0)),1)</calculatedColumnFormula>
    </tableColumn>
    <tableColumn id="19" name="ID ligne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RAE_SP_MAT" displayName="RAE_SP_MAT" ref="A15:S28" totalsRowCount="1">
  <autoFilter ref="A15:S27"/>
  <tableColumns count="19">
    <tableColumn id="1" name="Tâche" totalsRowLabel="Total" dataDxfId="0"/>
    <tableColumn id="2" name="Description de la tâche" dataDxfId="1">
      <calculatedColumnFormula>IF(RAE_SP_MAT[[#This Row],[Tâche]]="","",IFERROR(INDEX(Taches[[Description]],MATCH(RAE_SP_MAT[[#This Row],[Tâche]],Taches[[Entrée]],0)),""))</calculatedColumnFormula>
    </tableColumn>
    <tableColumn id="3" name="État" dataDxfId="1">
      <calculatedColumnFormula>IF(RAE_SP_MAT[[#This Row],[Tâche]]="","",IFERROR(INDEX(Taches[[État]],MATCH(RAE_SP_MAT[[#This Row],[Tâche]],Taches[[Entrée]],0)),""))</calculatedColumnFormula>
    </tableColumn>
    <tableColumn id="4" name="Rôle ou catégorie" dataDxfId="0"/>
    <tableColumn id="5" name="Désignation" dataDxfId="0"/>
    <tableColumn id="6" name="Budget" totalsRowFunction="custom" dataDxfId="2">
      <totalsRowFormula>SUBTOTAL(109,RAE_SP_MAT[[Budget]])</totalsRowFormula>
    </tableColumn>
    <tableColumn id="7" name="Reste précédent" totalsRowFunction="custom" dataDxfId="2">
      <totalsRowFormula>SUBTOTAL(109,RAE_SP_MAT[[Reste précédent]])</totalsRowFormula>
    </tableColumn>
    <tableColumn id="8" name="Jours restants" totalsRowFunction="custom" dataDxfId="3">
      <totalsRowFormula>SUBTOTAL(109,RAE_SP_MAT[[Jours restants]])</totalsRowFormula>
    </tableColumn>
    <tableColumn id="9" name="Débours restant" totalsRowFunction="custom" dataDxfId="4">
      <totalsRowFormula>SUBTOTAL(109,RAE_SP_MAT[[Débours restant]])</totalsRowFormula>
    </tableColumn>
    <tableColumn id="10" name="Nature" dataDxfId="1">
      <calculatedColumnFormula>IF(RAE_SP_MAT[[#This Row],[Rôle ou catégorie]]="","",IFERROR(INDEX(Referentiel[[Nature]],MATCH(RAE_SP_MAT[[#This Row],[Rôle ou catégorie]],Referentiel[[Entrée]],0)),"?"))</calculatedColumnFormula>
    </tableColumn>
    <tableColumn id="11" name="Code comptable" dataDxfId="1">
      <calculatedColumnFormula>IF(RAE_SP_MAT[[#This Row],[Rôle ou catégorie]]="","",IFERROR(INDEX(Referentiel[[Code comptable]],MATCH(RAE_SP_MAT[[#This Row],[Rôle ou catégorie]],Referentiel[[Entrée]],0)),"?"))</calculatedColumnFormula>
    </tableColumn>
    <tableColumn id="12" name="Service" dataDxfId="1">
      <calculatedColumnFormula>IF(RAE_SP_MAT[[#This Row],[Rôle ou catégorie]]="","",IFERROR(INDEX(Referentiel[[Service]],MATCH(RAE_SP_MAT[[#This Row],[Rôle ou catégorie]],Referentiel[[Entrée]],0)),"?")&amp;"")</calculatedColumnFormula>
    </tableColumn>
    <tableColumn id="13" name="Taux horaire" dataDxfId="1">
      <calculatedColumnFormula>IF(RAE_SP_MAT[[#This Row],[Rôle ou catégorie]]="","",IFERROR(INDEX(Referentiel[[Taux horaire]],MATCH(RAE_SP_MAT[[#This Row],[Rôle ou catégorie]],Referentiel[[Entrée]],0)),"?"))</calculatedColumnFormula>
    </tableColumn>
    <tableColumn id="14" name="Main-d’œuvre" totalsRowFunction="custom" dataDxfId="2">
      <calculatedColumnFormula>IF(RAE_SP_MAT[[#This Row],[Rôle ou catégorie]]="","",IF(RAE_SP_MAT[[#This Row],[Type]]="Main-d’œuvre",N(RAE_SP_MAT[[#This Row],[Jours restants]])*HeuresParJour*RAE_SP_MAT[[#This Row],[Taux horaire]]*RAE_SP_MAT[[#This Row],[Coefficient]],0))</calculatedColumnFormula>
      <totalsRowFormula>SUBTOTAL(109,RAE_SP_MAT[[Main-d’œuvre]])</totalsRowFormula>
    </tableColumn>
    <tableColumn id="15" name="Débours" totalsRowFunction="custom" dataDxfId="2">
      <calculatedColumnFormula>IF(RAE_SP_MAT[[#This Row],[Rôle ou catégorie]]="","",IF(RAE_SP_MAT[[#This Row],[Type]]="Hors main-d’œuvre",N(RAE_SP_MAT[[#This Row],[Débours restant]]),0))</calculatedColumnFormula>
      <totalsRowFormula>SUBTOTAL(109,RAE_SP_MAT[[Débours]])</totalsRowFormula>
    </tableColumn>
    <tableColumn id="16" name="Reste à engager" totalsRowFunction="custom" dataDxfId="2">
      <calculatedColumnFormula>IF(RAE_SP_MAT[[#This Row],[Rôle ou catégorie]]="","",RAE_SP_MAT[[#This Row],[Main-d’œuvre]]+RAE_SP_MAT[[#This Row],[Débours]])</calculatedColumnFormula>
      <totalsRowFormula>SUBTOTAL(109,RAE_SP_MAT[[Reste à engager]])</totalsRowFormula>
    </tableColumn>
    <tableColumn id="17" name="Type" dataDxfId="1">
      <calculatedColumnFormula>IF(RAE_SP_MAT[[#This Row],[Rôle ou catégorie]]="","",IFERROR(INDEX(Referentiel[[Type de nature]],MATCH(RAE_SP_MAT[[#This Row],[Rôle ou catégorie]],Referentiel[[Entrée]],0)),"?"))</calculatedColumnFormula>
    </tableColumn>
    <tableColumn id="18" name="Coefficient" dataDxfId="1">
      <calculatedColumnFormula>IFERROR(INDEX(Taches[[Coefficient]],MATCH(RAE_SP_MAT[[#This Row],[Tâche]],Taches[[Entrée]],0)),1)</calculatedColumnFormula>
    </tableColumn>
    <tableColumn id="19" name="ID ligne" dataDxfId="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RAE_Hors_sous_projet" displayName="RAE_Hors_sous_projet" ref="A15:S27" totalsRowCount="1">
  <autoFilter ref="A15:S26"/>
  <tableColumns count="19">
    <tableColumn id="1" name="Tâche" totalsRowLabel="Total" dataDxfId="0"/>
    <tableColumn id="2" name="Description de la tâche" dataDxfId="1">
      <calculatedColumnFormula>IF(RAE_Hors_sous_projet[[#This Row],[Tâche]]="","",IFERROR(INDEX(Taches[[Description]],MATCH(RAE_Hors_sous_projet[[#This Row],[Tâche]],Taches[[Entrée]],0)),""))</calculatedColumnFormula>
    </tableColumn>
    <tableColumn id="3" name="État" dataDxfId="1">
      <calculatedColumnFormula>IF(RAE_Hors_sous_projet[[#This Row],[Tâche]]="","",IFERROR(INDEX(Taches[[État]],MATCH(RAE_Hors_sous_projet[[#This Row],[Tâche]],Taches[[Entrée]],0)),""))</calculatedColumnFormula>
    </tableColumn>
    <tableColumn id="4" name="Rôle ou catégorie" dataDxfId="0"/>
    <tableColumn id="5" name="Désignation" dataDxfId="0"/>
    <tableColumn id="6" name="Budget" totalsRowFunction="custom" dataDxfId="2">
      <totalsRowFormula>SUBTOTAL(109,RAE_Hors_sous_projet[[Budget]])</totalsRowFormula>
    </tableColumn>
    <tableColumn id="7" name="Reste précédent" totalsRowFunction="custom" dataDxfId="2">
      <totalsRowFormula>SUBTOTAL(109,RAE_Hors_sous_projet[[Reste précédent]])</totalsRowFormula>
    </tableColumn>
    <tableColumn id="8" name="Jours restants" totalsRowFunction="custom" dataDxfId="3">
      <totalsRowFormula>SUBTOTAL(109,RAE_Hors_sous_projet[[Jours restants]])</totalsRowFormula>
    </tableColumn>
    <tableColumn id="9" name="Débours restant" totalsRowFunction="custom" dataDxfId="4">
      <totalsRowFormula>SUBTOTAL(109,RAE_Hors_sous_projet[[Débours restant]])</totalsRowFormula>
    </tableColumn>
    <tableColumn id="10" name="Nature" dataDxfId="1">
      <calculatedColumnFormula>IF(RAE_Hors_sous_projet[[#This Row],[Rôle ou catégorie]]="","",IFERROR(INDEX(Referentiel[[Nature]],MATCH(RAE_Hors_sous_projet[[#This Row],[Rôle ou catégorie]],Referentiel[[Entrée]],0)),"?"))</calculatedColumnFormula>
    </tableColumn>
    <tableColumn id="11" name="Code comptable" dataDxfId="1">
      <calculatedColumnFormula>IF(RAE_Hors_sous_projet[[#This Row],[Rôle ou catégorie]]="","",IFERROR(INDEX(Referentiel[[Code comptable]],MATCH(RAE_Hors_sous_projet[[#This Row],[Rôle ou catégorie]],Referentiel[[Entrée]],0)),"?"))</calculatedColumnFormula>
    </tableColumn>
    <tableColumn id="12" name="Service" dataDxfId="1">
      <calculatedColumnFormula>IF(RAE_Hors_sous_projet[[#This Row],[Rôle ou catégorie]]="","",IFERROR(INDEX(Referentiel[[Service]],MATCH(RAE_Hors_sous_projet[[#This Row],[Rôle ou catégorie]],Referentiel[[Entrée]],0)),"?")&amp;"")</calculatedColumnFormula>
    </tableColumn>
    <tableColumn id="13" name="Taux horaire" dataDxfId="1">
      <calculatedColumnFormula>IF(RAE_Hors_sous_projet[[#This Row],[Rôle ou catégorie]]="","",IFERROR(INDEX(Referentiel[[Taux horaire]],MATCH(RAE_Hors_sous_projet[[#This Row],[Rôle ou catégorie]],Referentiel[[Entrée]],0)),"?"))</calculatedColumnFormula>
    </tableColumn>
    <tableColumn id="14" name="Main-d’œuvre" totalsRowFunction="custom" dataDxfId="2">
      <calculatedColumnFormula>IF(RAE_Hors_sous_projet[[#This Row],[Rôle ou catégorie]]="","",IF(RAE_Hors_sous_projet[[#This Row],[Type]]="Main-d’œuvre",N(RAE_Hors_sous_projet[[#This Row],[Jours restants]])*HeuresParJour*RAE_Hors_sous_projet[[#This Row],[Taux horaire]]*RAE_Hors_sous_projet[[#This Row],[Coefficient]],0))</calculatedColumnFormula>
      <totalsRowFormula>SUBTOTAL(109,RAE_Hors_sous_projet[[Main-d’œuvre]])</totalsRowFormula>
    </tableColumn>
    <tableColumn id="15" name="Débours" totalsRowFunction="custom" dataDxfId="2">
      <calculatedColumnFormula>IF(RAE_Hors_sous_projet[[#This Row],[Rôle ou catégorie]]="","",IF(RAE_Hors_sous_projet[[#This Row],[Type]]="Hors main-d’œuvre",N(RAE_Hors_sous_projet[[#This Row],[Débours restant]]),0))</calculatedColumnFormula>
      <totalsRowFormula>SUBTOTAL(109,RAE_Hors_sous_projet[[Débours]])</totalsRowFormula>
    </tableColumn>
    <tableColumn id="16" name="Reste à engager" totalsRowFunction="custom" dataDxfId="2">
      <calculatedColumnFormula>IF(RAE_Hors_sous_projet[[#This Row],[Rôle ou catégorie]]="","",RAE_Hors_sous_projet[[#This Row],[Main-d’œuvre]]+RAE_Hors_sous_projet[[#This Row],[Débours]])</calculatedColumnFormula>
      <totalsRowFormula>SUBTOTAL(109,RAE_Hors_sous_projet[[Reste à engager]])</totalsRowFormula>
    </tableColumn>
    <tableColumn id="17" name="Type" dataDxfId="1">
      <calculatedColumnFormula>IF(RAE_Hors_sous_projet[[#This Row],[Rôle ou catégorie]]="","",IFERROR(INDEX(Referentiel[[Type de nature]],MATCH(RAE_Hors_sous_projet[[#This Row],[Rôle ou catégorie]],Referentiel[[Entrée]],0)),"?"))</calculatedColumnFormula>
    </tableColumn>
    <tableColumn id="18" name="Coefficient" dataDxfId="1">
      <calculatedColumnFormula>IFERROR(INDEX(Taches[[Coefficient]],MATCH(RAE_Hors_sous_projet[[#This Row],[Tâche]],Taches[[Entrée]],0)),1)</calculatedColumnFormula>
    </tableColumn>
    <tableColumn id="19" name="ID ligne" dataDxfId="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ches" displayName="Taches" ref="A4:F10" totalsRowShown="0">
  <autoFilter ref="A4:F10"/>
  <tableColumns count="6">
    <tableColumn id="1" name="Entrée"/>
    <tableColumn id="2" name="ID tâche"/>
    <tableColumn id="3" name="Sous-projet"/>
    <tableColumn id="4" name="État"/>
    <tableColumn id="5" name="Coefficient"/>
    <tableColumn id="6" name="Description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Referentiel" displayName="Referentiel" ref="A4:I13" totalsRowShown="0">
  <autoFilter ref="A4:I13"/>
  <tableColumns count="9">
    <tableColumn id="1" name="Entrée"/>
    <tableColumn id="2" name="Genre"/>
    <tableColumn id="3" name="Code"/>
    <tableColumn id="4" name="Libellé"/>
    <tableColumn id="5" name="Service"/>
    <tableColumn id="6" name="Nature"/>
    <tableColumn id="7" name="Type de nature"/>
    <tableColumn id="8" name="Code comptable"/>
    <tableColumn id="9" name="Taux horair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3"/>
  <sheetViews>
    <sheetView tabSelected="1" workbookViewId="0"/>
  </sheetViews>
  <sheetFormatPr defaultRowHeight="15"/>
  <cols>
    <col min="1" max="1" width="30.7109375" customWidth="1"/>
    <col min="2" max="14" width="15.7109375" customWidth="1"/>
  </cols>
  <sheetData>
    <row r="1" spans="1:14">
      <c r="A1" t="s">
        <v>118</v>
      </c>
      <c r="B1" t="s">
        <v>85</v>
      </c>
    </row>
    <row r="2" spans="1:14">
      <c r="A2" t="s">
        <v>119</v>
      </c>
      <c r="B2" s="1">
        <v>1</v>
      </c>
    </row>
    <row r="4" spans="1:14">
      <c r="A4" s="2" t="s">
        <v>120</v>
      </c>
    </row>
    <row r="6" spans="1:14">
      <c r="A6" s="3" t="s">
        <v>121</v>
      </c>
      <c r="B6" s="1" t="s">
        <v>122</v>
      </c>
    </row>
    <row r="7" spans="1:14">
      <c r="A7" s="3" t="s">
        <v>123</v>
      </c>
      <c r="B7" s="1" t="s">
        <v>124</v>
      </c>
    </row>
    <row r="8" spans="1:14">
      <c r="A8" s="3" t="s">
        <v>125</v>
      </c>
      <c r="B8" s="1" t="s">
        <v>126</v>
      </c>
    </row>
    <row r="9" spans="1:14">
      <c r="A9" s="3" t="s">
        <v>127</v>
      </c>
      <c r="B9" s="1" t="s">
        <v>128</v>
      </c>
    </row>
    <row r="10" spans="1:14">
      <c r="A10" s="3" t="s">
        <v>129</v>
      </c>
      <c r="B10" s="1" t="s">
        <v>130</v>
      </c>
    </row>
    <row r="11" spans="1:14">
      <c r="A11" s="3" t="s">
        <v>131</v>
      </c>
      <c r="B11" s="1" t="s">
        <v>132</v>
      </c>
    </row>
    <row r="14" spans="1:14">
      <c r="H14" s="4" t="s">
        <v>133</v>
      </c>
      <c r="I14" s="4"/>
      <c r="J14" s="4"/>
      <c r="K14" s="4"/>
      <c r="L14" s="4"/>
      <c r="M14" s="4"/>
      <c r="N14" s="4"/>
    </row>
    <row r="15" spans="1:14" ht="30" customHeight="1">
      <c r="A15" s="5" t="s">
        <v>52</v>
      </c>
      <c r="B15" s="5" t="s">
        <v>95</v>
      </c>
      <c r="C15" s="5" t="s">
        <v>134</v>
      </c>
      <c r="D15" s="5" t="s">
        <v>85</v>
      </c>
      <c r="E15" s="5" t="s">
        <v>135</v>
      </c>
      <c r="F15" s="5" t="s">
        <v>87</v>
      </c>
      <c r="G15" s="5" t="s">
        <v>88</v>
      </c>
      <c r="H15" s="5" t="s">
        <v>136</v>
      </c>
      <c r="I15" s="5" t="s">
        <v>137</v>
      </c>
      <c r="J15" s="5" t="s">
        <v>138</v>
      </c>
      <c r="K15" s="5" t="s">
        <v>139</v>
      </c>
      <c r="L15" s="5" t="s">
        <v>140</v>
      </c>
      <c r="M15" s="5" t="s">
        <v>141</v>
      </c>
      <c r="N15" s="5" t="s">
        <v>142</v>
      </c>
    </row>
    <row r="16" spans="1:14">
      <c r="A16" t="s">
        <v>79</v>
      </c>
      <c r="B16" s="6">
        <f>'SP-PRE'!$B$4</f>
        <v>0</v>
      </c>
      <c r="C16" s="6">
        <f>'SP-PRE'!$B$5</f>
        <v>0</v>
      </c>
      <c r="D16" s="6">
        <f>'SP-PRE'!$B$9</f>
        <v>0</v>
      </c>
      <c r="E16" s="6">
        <f>'SP-PRE'!$B$10</f>
        <v>0</v>
      </c>
      <c r="F16" s="6">
        <f>'SP-PRE'!$B$11</f>
        <v>0</v>
      </c>
      <c r="G16" s="7">
        <f>'SP-PRE'!$B$12</f>
        <v>0</v>
      </c>
      <c r="H16" s="6">
        <f>SUMIFS(RAE_SP_PRE[[Reste à engager]],RAE_SP_PRE[[Nature]],"Main-d’œuvre")</f>
        <v>0</v>
      </c>
      <c r="I16" s="6">
        <f>SUMIFS(RAE_SP_PRE[[Reste à engager]],RAE_SP_PRE[[Nature]],"Fournitures")</f>
        <v>0</v>
      </c>
      <c r="J16" s="6">
        <f>SUMIFS(RAE_SP_PRE[[Reste à engager]],RAE_SP_PRE[[Nature]],"Sous-traitance")</f>
        <v>0</v>
      </c>
      <c r="K16" s="6">
        <f>'SP-PRE'!$B$7</f>
        <v>0</v>
      </c>
      <c r="L16" s="8">
        <f>SUMIFS(RAE_SP_PRE[[Jours restants]],RAE_SP_PRE[[Code comptable]],"I810")</f>
        <v>0</v>
      </c>
      <c r="M16" s="8">
        <f>SUMIFS(RAE_SP_PRE[[Jours restants]],RAE_SP_PRE[[Code comptable]],"I329")</f>
        <v>0</v>
      </c>
      <c r="N16" s="8">
        <f>SUMIFS(RAE_SP_PRE[[Jours restants]],RAE_SP_PRE[[Code comptable]],"I1M2")</f>
        <v>0</v>
      </c>
    </row>
    <row r="17" spans="1:14">
      <c r="A17" t="s">
        <v>112</v>
      </c>
      <c r="B17" s="6">
        <f>'SP-MAT'!$B$4</f>
        <v>0</v>
      </c>
      <c r="C17" s="6">
        <f>'SP-MAT'!$B$5</f>
        <v>0</v>
      </c>
      <c r="D17" s="6">
        <f>'SP-MAT'!$B$9</f>
        <v>0</v>
      </c>
      <c r="E17" s="6">
        <f>'SP-MAT'!$B$10</f>
        <v>0</v>
      </c>
      <c r="F17" s="6">
        <f>'SP-MAT'!$B$11</f>
        <v>0</v>
      </c>
      <c r="G17" s="7">
        <f>'SP-MAT'!$B$12</f>
        <v>0</v>
      </c>
      <c r="H17" s="6">
        <f>SUMIFS(RAE_SP_MAT[[Reste à engager]],RAE_SP_MAT[[Nature]],"Main-d’œuvre")</f>
        <v>0</v>
      </c>
      <c r="I17" s="6">
        <f>SUMIFS(RAE_SP_MAT[[Reste à engager]],RAE_SP_MAT[[Nature]],"Fournitures")</f>
        <v>0</v>
      </c>
      <c r="J17" s="6">
        <f>SUMIFS(RAE_SP_MAT[[Reste à engager]],RAE_SP_MAT[[Nature]],"Sous-traitance")</f>
        <v>0</v>
      </c>
      <c r="K17" s="6">
        <f>'SP-MAT'!$B$7</f>
        <v>0</v>
      </c>
      <c r="L17" s="8">
        <f>SUMIFS(RAE_SP_MAT[[Jours restants]],RAE_SP_MAT[[Code comptable]],"I810")</f>
        <v>0</v>
      </c>
      <c r="M17" s="8">
        <f>SUMIFS(RAE_SP_MAT[[Jours restants]],RAE_SP_MAT[[Code comptable]],"I329")</f>
        <v>0</v>
      </c>
      <c r="N17" s="8">
        <f>SUMIFS(RAE_SP_MAT[[Jours restants]],RAE_SP_MAT[[Code comptable]],"I1M2")</f>
        <v>0</v>
      </c>
    </row>
    <row r="18" spans="1:14">
      <c r="A18" t="s">
        <v>77</v>
      </c>
      <c r="B18" s="6">
        <f>'Hors sous-projet'!$B$4</f>
        <v>0</v>
      </c>
      <c r="C18" s="6">
        <f>'Hors sous-projet'!$B$5</f>
        <v>0</v>
      </c>
      <c r="D18" s="6">
        <f>'Hors sous-projet'!$B$9</f>
        <v>0</v>
      </c>
      <c r="E18" s="6">
        <f>'Hors sous-projet'!$B$10</f>
        <v>0</v>
      </c>
      <c r="F18" s="6">
        <f>'Hors sous-projet'!$B$11</f>
        <v>0</v>
      </c>
      <c r="G18" s="7">
        <f>'Hors sous-projet'!$B$12</f>
        <v>0</v>
      </c>
      <c r="H18" s="6">
        <f>SUMIFS(RAE_Hors_sous_projet[[Reste à engager]],RAE_Hors_sous_projet[[Nature]],"Main-d’œuvre")</f>
        <v>0</v>
      </c>
      <c r="I18" s="6">
        <f>SUMIFS(RAE_Hors_sous_projet[[Reste à engager]],RAE_Hors_sous_projet[[Nature]],"Fournitures")</f>
        <v>0</v>
      </c>
      <c r="J18" s="6">
        <f>SUMIFS(RAE_Hors_sous_projet[[Reste à engager]],RAE_Hors_sous_projet[[Nature]],"Sous-traitance")</f>
        <v>0</v>
      </c>
      <c r="K18" s="6">
        <f>'Hors sous-projet'!$B$7</f>
        <v>0</v>
      </c>
      <c r="L18" s="8">
        <f>SUMIFS(RAE_Hors_sous_projet[[Jours restants]],RAE_Hors_sous_projet[[Code comptable]],"I810")</f>
        <v>0</v>
      </c>
      <c r="M18" s="8">
        <f>SUMIFS(RAE_Hors_sous_projet[[Jours restants]],RAE_Hors_sous_projet[[Code comptable]],"I329")</f>
        <v>0</v>
      </c>
      <c r="N18" s="8">
        <f>SUMIFS(RAE_Hors_sous_projet[[Jours restants]],RAE_Hors_sous_projet[[Code comptable]],"I1M2")</f>
        <v>0</v>
      </c>
    </row>
    <row r="19" spans="1:14">
      <c r="A19" s="3" t="s">
        <v>143</v>
      </c>
      <c r="B19" s="9">
        <f>SUM(B16:B18)</f>
        <v>0</v>
      </c>
      <c r="C19" s="9">
        <f>SUM(C16:C18)</f>
        <v>0</v>
      </c>
      <c r="D19" s="9">
        <f>SUM(D16:D18)</f>
        <v>0</v>
      </c>
      <c r="E19" s="9">
        <f>SUM(E16:E18)</f>
        <v>0</v>
      </c>
      <c r="F19" s="9">
        <f>SUM(F16:F18)</f>
        <v>0</v>
      </c>
      <c r="G19" s="10">
        <f>IF(E19=0,"non calculable",C19/E19)</f>
        <v>0</v>
      </c>
      <c r="H19" s="9">
        <f>SUM(H16:H18)</f>
        <v>0</v>
      </c>
      <c r="I19" s="9">
        <f>SUM(I16:I18)</f>
        <v>0</v>
      </c>
      <c r="J19" s="9">
        <f>SUM(J16:J18)</f>
        <v>0</v>
      </c>
      <c r="K19" s="9">
        <f>SUM(K16:K18)</f>
        <v>0</v>
      </c>
      <c r="L19" s="11">
        <f>SUM(L16:L18)</f>
        <v>0</v>
      </c>
      <c r="M19" s="11">
        <f>SUM(M16:M18)</f>
        <v>0</v>
      </c>
      <c r="N19" s="11">
        <f>SUM(N16:N18)</f>
        <v>0</v>
      </c>
    </row>
    <row r="21" spans="1:14">
      <c r="A21" s="12" t="s">
        <v>144</v>
      </c>
    </row>
    <row r="23" spans="1:14">
      <c r="A23" s="13" t="s">
        <v>111</v>
      </c>
    </row>
  </sheetData>
  <mergeCells count="1">
    <mergeCell ref="H14:N14"/>
  </mergeCells>
  <pageMargins left="0.7" right="0.7" top="0.75" bottom="0.75" header="0.3" footer="0.3"/>
  <pageSetup orientation="landscape"/>
  <headerFooter>
    <oddFooter>&amp;L&amp;8© 2027 Exemple Industrie — Généré par Waterfall le 2027-02-15 — logiciel libre sous licence AGPL-3.0 — www.waterfall-project.pro&amp;R&amp;8Page &amp;P / 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36"/>
  <sheetViews>
    <sheetView workbookViewId="0">
      <pane xSplit="1" ySplit="15" topLeftCell="B16" activePane="bottomRight" state="frozen"/>
      <selection pane="topRight" activeCell="B1" sqref="B1"/>
      <selection pane="bottomLeft" activeCell="A16" sqref="A16"/>
      <selection pane="bottomRight"/>
    </sheetView>
  </sheetViews>
  <sheetFormatPr defaultRowHeight="15" outlineLevelCol="1"/>
  <cols>
    <col min="1" max="1" width="34.7109375" customWidth="1"/>
    <col min="2" max="2" width="40.7109375" customWidth="1"/>
    <col min="3" max="3" width="13.7109375" customWidth="1"/>
    <col min="4" max="4" width="32.7109375" customWidth="1"/>
    <col min="5" max="5" width="34.7109375" customWidth="1"/>
    <col min="6" max="9" width="13.7109375" customWidth="1"/>
    <col min="10" max="10" width="16.7109375" customWidth="1"/>
    <col min="11" max="11" width="13.7109375" customWidth="1"/>
    <col min="12" max="12" width="22.7109375" customWidth="1"/>
    <col min="13" max="16" width="13.7109375" customWidth="1"/>
    <col min="17" max="19" width="10.7109375" hidden="1" customWidth="1" outlineLevel="1"/>
  </cols>
  <sheetData>
    <row r="1" spans="1:19">
      <c r="A1" s="2" t="s">
        <v>79</v>
      </c>
    </row>
    <row r="2" spans="1:19">
      <c r="A2" s="12" t="s">
        <v>80</v>
      </c>
    </row>
    <row r="4" spans="1:19">
      <c r="A4" t="s">
        <v>81</v>
      </c>
      <c r="B4" s="6">
        <v>68567.60000000001</v>
      </c>
    </row>
    <row r="5" spans="1:19">
      <c r="A5" t="s">
        <v>82</v>
      </c>
      <c r="B5" s="6">
        <v>21500</v>
      </c>
    </row>
    <row r="6" spans="1:19">
      <c r="A6" t="s">
        <v>83</v>
      </c>
      <c r="B6" s="6">
        <f>SUBTOTAL(109,RAE_SP_PRE[[Reste à engager]])</f>
        <v>0</v>
      </c>
    </row>
    <row r="7" spans="1:19">
      <c r="A7" t="s">
        <v>84</v>
      </c>
      <c r="B7" s="6">
        <v>0</v>
      </c>
    </row>
    <row r="9" spans="1:19">
      <c r="A9" s="3" t="s">
        <v>85</v>
      </c>
      <c r="B9" s="9">
        <f>$B$6+$B$7</f>
        <v>0</v>
      </c>
    </row>
    <row r="10" spans="1:19">
      <c r="A10" s="3" t="s">
        <v>86</v>
      </c>
      <c r="B10" s="9">
        <f>$B$5+$B$9</f>
        <v>0</v>
      </c>
    </row>
    <row r="11" spans="1:19">
      <c r="A11" s="3" t="s">
        <v>87</v>
      </c>
      <c r="B11" s="9">
        <f>$B$10-$B$4</f>
        <v>0</v>
      </c>
    </row>
    <row r="12" spans="1:19">
      <c r="A12" s="3" t="s">
        <v>88</v>
      </c>
      <c r="B12" s="7">
        <f>IF($B$10=0,"non calculable",$B$5/$B$10)</f>
        <v>0</v>
      </c>
    </row>
    <row r="14" spans="1:19">
      <c r="H14" s="4" t="s">
        <v>89</v>
      </c>
      <c r="I14" s="4"/>
    </row>
    <row r="15" spans="1:19" s="5" customFormat="1" ht="30" customHeight="1">
      <c r="A15" s="5" t="s">
        <v>91</v>
      </c>
      <c r="B15" s="5" t="s">
        <v>92</v>
      </c>
      <c r="C15" s="5" t="s">
        <v>53</v>
      </c>
      <c r="D15" s="5" t="s">
        <v>93</v>
      </c>
      <c r="E15" s="5" t="s">
        <v>94</v>
      </c>
      <c r="F15" s="5" t="s">
        <v>95</v>
      </c>
      <c r="G15" s="5" t="s">
        <v>96</v>
      </c>
      <c r="H15" s="5" t="s">
        <v>97</v>
      </c>
      <c r="I15" s="5" t="s">
        <v>98</v>
      </c>
      <c r="J15" s="5" t="s">
        <v>7</v>
      </c>
      <c r="K15" s="5" t="s">
        <v>9</v>
      </c>
      <c r="L15" s="5" t="s">
        <v>6</v>
      </c>
      <c r="M15" s="5" t="s">
        <v>10</v>
      </c>
      <c r="N15" s="5" t="s">
        <v>16</v>
      </c>
      <c r="O15" s="5" t="s">
        <v>99</v>
      </c>
      <c r="P15" s="5" t="s">
        <v>85</v>
      </c>
      <c r="Q15" s="5" t="s">
        <v>100</v>
      </c>
      <c r="R15" s="5" t="s">
        <v>54</v>
      </c>
      <c r="S15" s="5" t="s">
        <v>101</v>
      </c>
    </row>
    <row r="16" spans="1:19">
      <c r="A16" s="14" t="s">
        <v>56</v>
      </c>
      <c r="B16" s="15">
        <f>IF(RAE_SP_PRE[[#This Row],[Tâche]]="","",IFERROR(INDEX(Taches[[Description]],MATCH(RAE_SP_PRE[[#This Row],[Tâche]],Taches[[Entrée]],0)),""))</f>
        <v>0</v>
      </c>
      <c r="C16" s="15">
        <f>IF(RAE_SP_PRE[[#This Row],[Tâche]]="","",IFERROR(INDEX(Taches[[État]],MATCH(RAE_SP_PRE[[#This Row],[Tâche]],Taches[[Entrée]],0)),""))</f>
        <v>0</v>
      </c>
      <c r="D16" s="14" t="s">
        <v>11</v>
      </c>
      <c r="E16" s="14"/>
      <c r="F16" s="16">
        <v>3700</v>
      </c>
      <c r="G16" s="16">
        <v>1480</v>
      </c>
      <c r="H16" s="8">
        <v>3</v>
      </c>
      <c r="I16" s="6"/>
      <c r="J16" s="15">
        <f>IF(RAE_SP_PRE[[#This Row],[Rôle ou catégorie]]="","",IFERROR(INDEX(Referentiel[[Nature]],MATCH(RAE_SP_PRE[[#This Row],[Rôle ou catégorie]],Referentiel[[Entrée]],0)),"?"))</f>
        <v>0</v>
      </c>
      <c r="K16" s="15">
        <f>IF(RAE_SP_PRE[[#This Row],[Rôle ou catégorie]]="","",IFERROR(INDEX(Referentiel[[Code comptable]],MATCH(RAE_SP_PRE[[#This Row],[Rôle ou catégorie]],Referentiel[[Entrée]],0)),"?"))</f>
        <v>0</v>
      </c>
      <c r="L16" s="15">
        <f>IF(RAE_SP_PRE[[#This Row],[Rôle ou catégorie]]="","",IFERROR(INDEX(Referentiel[[Service]],MATCH(RAE_SP_PRE[[#This Row],[Rôle ou catégorie]],Referentiel[[Entrée]],0)),"?")&amp;"")</f>
        <v>0</v>
      </c>
      <c r="M16" s="15">
        <f>IF(RAE_SP_PRE[[#This Row],[Rôle ou catégorie]]="","",IFERROR(INDEX(Referentiel[[Taux horaire]],MATCH(RAE_SP_PRE[[#This Row],[Rôle ou catégorie]],Referentiel[[Entrée]],0)),"?"))</f>
        <v>0</v>
      </c>
      <c r="N16" s="16">
        <f>IF(RAE_SP_PRE[[#This Row],[Rôle ou catégorie]]="","",IF(RAE_SP_PRE[[#This Row],[Type]]="Main-d’œuvre",N(RAE_SP_PRE[[#This Row],[Jours restants]])*HeuresParJour*RAE_SP_PRE[[#This Row],[Taux horaire]]*RAE_SP_PRE[[#This Row],[Coefficient]],0))</f>
        <v>0</v>
      </c>
      <c r="O16" s="16">
        <f>IF(RAE_SP_PRE[[#This Row],[Rôle ou catégorie]]="","",IF(RAE_SP_PRE[[#This Row],[Type]]="Hors main-d’œuvre",N(RAE_SP_PRE[[#This Row],[Débours restant]]),0))</f>
        <v>0</v>
      </c>
      <c r="P16" s="16">
        <f>IF(RAE_SP_PRE[[#This Row],[Rôle ou catégorie]]="","",RAE_SP_PRE[[#This Row],[Main-d’œuvre]]+RAE_SP_PRE[[#This Row],[Débours]])</f>
        <v>0</v>
      </c>
      <c r="Q16" s="15">
        <f>IF(RAE_SP_PRE[[#This Row],[Rôle ou catégorie]]="","",IFERROR(INDEX(Referentiel[[Type de nature]],MATCH(RAE_SP_PRE[[#This Row],[Rôle ou catégorie]],Referentiel[[Entrée]],0)),"?"))</f>
        <v>0</v>
      </c>
      <c r="R16" s="15">
        <f>IFERROR(INDEX(Taches[[Coefficient]],MATCH(RAE_SP_PRE[[#This Row],[Tâche]],Taches[[Entrée]],0)),1)</f>
        <v>0</v>
      </c>
      <c r="S16" s="15" t="s">
        <v>102</v>
      </c>
    </row>
    <row r="17" spans="1:19">
      <c r="A17" s="14" t="s">
        <v>61</v>
      </c>
      <c r="B17" s="15">
        <f>IF(RAE_SP_PRE[[#This Row],[Tâche]]="","",IFERROR(INDEX(Taches[[Description]],MATCH(RAE_SP_PRE[[#This Row],[Tâche]],Taches[[Entrée]],0)),""))</f>
        <v>0</v>
      </c>
      <c r="C17" s="15">
        <f>IF(RAE_SP_PRE[[#This Row],[Tâche]]="","",IFERROR(INDEX(Taches[[État]],MATCH(RAE_SP_PRE[[#This Row],[Tâche]],Taches[[Entrée]],0)),""))</f>
        <v>0</v>
      </c>
      <c r="D17" s="14" t="s">
        <v>22</v>
      </c>
      <c r="E17" s="14"/>
      <c r="F17" s="16">
        <v>11840</v>
      </c>
      <c r="G17" s="16">
        <v>6000</v>
      </c>
      <c r="H17" s="8">
        <v>8</v>
      </c>
      <c r="I17" s="6"/>
      <c r="J17" s="15">
        <f>IF(RAE_SP_PRE[[#This Row],[Rôle ou catégorie]]="","",IFERROR(INDEX(Referentiel[[Nature]],MATCH(RAE_SP_PRE[[#This Row],[Rôle ou catégorie]],Referentiel[[Entrée]],0)),"?"))</f>
        <v>0</v>
      </c>
      <c r="K17" s="15">
        <f>IF(RAE_SP_PRE[[#This Row],[Rôle ou catégorie]]="","",IFERROR(INDEX(Referentiel[[Code comptable]],MATCH(RAE_SP_PRE[[#This Row],[Rôle ou catégorie]],Referentiel[[Entrée]],0)),"?"))</f>
        <v>0</v>
      </c>
      <c r="L17" s="15">
        <f>IF(RAE_SP_PRE[[#This Row],[Rôle ou catégorie]]="","",IFERROR(INDEX(Referentiel[[Service]],MATCH(RAE_SP_PRE[[#This Row],[Rôle ou catégorie]],Referentiel[[Entrée]],0)),"?")&amp;"")</f>
        <v>0</v>
      </c>
      <c r="M17" s="15">
        <f>IF(RAE_SP_PRE[[#This Row],[Rôle ou catégorie]]="","",IFERROR(INDEX(Referentiel[[Taux horaire]],MATCH(RAE_SP_PRE[[#This Row],[Rôle ou catégorie]],Referentiel[[Entrée]],0)),"?"))</f>
        <v>0</v>
      </c>
      <c r="N17" s="16">
        <f>IF(RAE_SP_PRE[[#This Row],[Rôle ou catégorie]]="","",IF(RAE_SP_PRE[[#This Row],[Type]]="Main-d’œuvre",N(RAE_SP_PRE[[#This Row],[Jours restants]])*HeuresParJour*RAE_SP_PRE[[#This Row],[Taux horaire]]*RAE_SP_PRE[[#This Row],[Coefficient]],0))</f>
        <v>0</v>
      </c>
      <c r="O17" s="16">
        <f>IF(RAE_SP_PRE[[#This Row],[Rôle ou catégorie]]="","",IF(RAE_SP_PRE[[#This Row],[Type]]="Hors main-d’œuvre",N(RAE_SP_PRE[[#This Row],[Débours restant]]),0))</f>
        <v>0</v>
      </c>
      <c r="P17" s="16">
        <f>IF(RAE_SP_PRE[[#This Row],[Rôle ou catégorie]]="","",RAE_SP_PRE[[#This Row],[Main-d’œuvre]]+RAE_SP_PRE[[#This Row],[Débours]])</f>
        <v>0</v>
      </c>
      <c r="Q17" s="15">
        <f>IF(RAE_SP_PRE[[#This Row],[Rôle ou catégorie]]="","",IFERROR(INDEX(Referentiel[[Type de nature]],MATCH(RAE_SP_PRE[[#This Row],[Rôle ou catégorie]],Referentiel[[Entrée]],0)),"?"))</f>
        <v>0</v>
      </c>
      <c r="R17" s="15">
        <f>IFERROR(INDEX(Taches[[Coefficient]],MATCH(RAE_SP_PRE[[#This Row],[Tâche]],Taches[[Entrée]],0)),1)</f>
        <v>0</v>
      </c>
      <c r="S17" s="15" t="s">
        <v>103</v>
      </c>
    </row>
    <row r="18" spans="1:19">
      <c r="A18" s="14" t="s">
        <v>61</v>
      </c>
      <c r="B18" s="15">
        <f>IF(RAE_SP_PRE[[#This Row],[Tâche]]="","",IFERROR(INDEX(Taches[[Description]],MATCH(RAE_SP_PRE[[#This Row],[Tâche]],Taches[[Entrée]],0)),""))</f>
        <v>0</v>
      </c>
      <c r="C18" s="15">
        <f>IF(RAE_SP_PRE[[#This Row],[Tâche]]="","",IFERROR(INDEX(Taches[[État]],MATCH(RAE_SP_PRE[[#This Row],[Tâche]],Taches[[Entrée]],0)),""))</f>
        <v>0</v>
      </c>
      <c r="D18" s="14" t="s">
        <v>27</v>
      </c>
      <c r="E18" s="14"/>
      <c r="F18" s="16">
        <v>26640</v>
      </c>
      <c r="G18" s="16">
        <v>18300</v>
      </c>
      <c r="H18" s="8">
        <v>35</v>
      </c>
      <c r="I18" s="6"/>
      <c r="J18" s="15">
        <f>IF(RAE_SP_PRE[[#This Row],[Rôle ou catégorie]]="","",IFERROR(INDEX(Referentiel[[Nature]],MATCH(RAE_SP_PRE[[#This Row],[Rôle ou catégorie]],Referentiel[[Entrée]],0)),"?"))</f>
        <v>0</v>
      </c>
      <c r="K18" s="15">
        <f>IF(RAE_SP_PRE[[#This Row],[Rôle ou catégorie]]="","",IFERROR(INDEX(Referentiel[[Code comptable]],MATCH(RAE_SP_PRE[[#This Row],[Rôle ou catégorie]],Referentiel[[Entrée]],0)),"?"))</f>
        <v>0</v>
      </c>
      <c r="L18" s="15">
        <f>IF(RAE_SP_PRE[[#This Row],[Rôle ou catégorie]]="","",IFERROR(INDEX(Referentiel[[Service]],MATCH(RAE_SP_PRE[[#This Row],[Rôle ou catégorie]],Referentiel[[Entrée]],0)),"?")&amp;"")</f>
        <v>0</v>
      </c>
      <c r="M18" s="15">
        <f>IF(RAE_SP_PRE[[#This Row],[Rôle ou catégorie]]="","",IFERROR(INDEX(Referentiel[[Taux horaire]],MATCH(RAE_SP_PRE[[#This Row],[Rôle ou catégorie]],Referentiel[[Entrée]],0)),"?"))</f>
        <v>0</v>
      </c>
      <c r="N18" s="16">
        <f>IF(RAE_SP_PRE[[#This Row],[Rôle ou catégorie]]="","",IF(RAE_SP_PRE[[#This Row],[Type]]="Main-d’œuvre",N(RAE_SP_PRE[[#This Row],[Jours restants]])*HeuresParJour*RAE_SP_PRE[[#This Row],[Taux horaire]]*RAE_SP_PRE[[#This Row],[Coefficient]],0))</f>
        <v>0</v>
      </c>
      <c r="O18" s="16">
        <f>IF(RAE_SP_PRE[[#This Row],[Rôle ou catégorie]]="","",IF(RAE_SP_PRE[[#This Row],[Type]]="Hors main-d’œuvre",N(RAE_SP_PRE[[#This Row],[Débours restant]]),0))</f>
        <v>0</v>
      </c>
      <c r="P18" s="16">
        <f>IF(RAE_SP_PRE[[#This Row],[Rôle ou catégorie]]="","",RAE_SP_PRE[[#This Row],[Main-d’œuvre]]+RAE_SP_PRE[[#This Row],[Débours]])</f>
        <v>0</v>
      </c>
      <c r="Q18" s="15">
        <f>IF(RAE_SP_PRE[[#This Row],[Rôle ou catégorie]]="","",IFERROR(INDEX(Referentiel[[Type de nature]],MATCH(RAE_SP_PRE[[#This Row],[Rôle ou catégorie]],Referentiel[[Entrée]],0)),"?"))</f>
        <v>0</v>
      </c>
      <c r="R18" s="15">
        <f>IFERROR(INDEX(Taches[[Coefficient]],MATCH(RAE_SP_PRE[[#This Row],[Tâche]],Taches[[Entrée]],0)),1)</f>
        <v>0</v>
      </c>
      <c r="S18" s="15" t="s">
        <v>104</v>
      </c>
    </row>
    <row r="19" spans="1:19">
      <c r="A19" s="14" t="s">
        <v>61</v>
      </c>
      <c r="B19" s="15">
        <f>IF(RAE_SP_PRE[[#This Row],[Tâche]]="","",IFERROR(INDEX(Taches[[Description]],MATCH(RAE_SP_PRE[[#This Row],[Tâche]],Taches[[Entrée]],0)),""))</f>
        <v>0</v>
      </c>
      <c r="C19" s="15">
        <f>IF(RAE_SP_PRE[[#This Row],[Tâche]]="","",IFERROR(INDEX(Taches[[État]],MATCH(RAE_SP_PRE[[#This Row],[Tâche]],Taches[[Entrée]],0)),""))</f>
        <v>0</v>
      </c>
      <c r="D19" s="14" t="s">
        <v>46</v>
      </c>
      <c r="E19" s="14" t="s">
        <v>105</v>
      </c>
      <c r="F19" s="16">
        <v>2000</v>
      </c>
      <c r="G19" s="16">
        <v>2000</v>
      </c>
      <c r="H19" s="8"/>
      <c r="I19" s="6">
        <v>1500</v>
      </c>
      <c r="J19" s="15">
        <f>IF(RAE_SP_PRE[[#This Row],[Rôle ou catégorie]]="","",IFERROR(INDEX(Referentiel[[Nature]],MATCH(RAE_SP_PRE[[#This Row],[Rôle ou catégorie]],Referentiel[[Entrée]],0)),"?"))</f>
        <v>0</v>
      </c>
      <c r="K19" s="15">
        <f>IF(RAE_SP_PRE[[#This Row],[Rôle ou catégorie]]="","",IFERROR(INDEX(Referentiel[[Code comptable]],MATCH(RAE_SP_PRE[[#This Row],[Rôle ou catégorie]],Referentiel[[Entrée]],0)),"?"))</f>
        <v>0</v>
      </c>
      <c r="L19" s="15">
        <f>IF(RAE_SP_PRE[[#This Row],[Rôle ou catégorie]]="","",IFERROR(INDEX(Referentiel[[Service]],MATCH(RAE_SP_PRE[[#This Row],[Rôle ou catégorie]],Referentiel[[Entrée]],0)),"?")&amp;"")</f>
        <v>0</v>
      </c>
      <c r="M19" s="15">
        <f>IF(RAE_SP_PRE[[#This Row],[Rôle ou catégorie]]="","",IFERROR(INDEX(Referentiel[[Taux horaire]],MATCH(RAE_SP_PRE[[#This Row],[Rôle ou catégorie]],Referentiel[[Entrée]],0)),"?"))</f>
        <v>0</v>
      </c>
      <c r="N19" s="16">
        <f>IF(RAE_SP_PRE[[#This Row],[Rôle ou catégorie]]="","",IF(RAE_SP_PRE[[#This Row],[Type]]="Main-d’œuvre",N(RAE_SP_PRE[[#This Row],[Jours restants]])*HeuresParJour*RAE_SP_PRE[[#This Row],[Taux horaire]]*RAE_SP_PRE[[#This Row],[Coefficient]],0))</f>
        <v>0</v>
      </c>
      <c r="O19" s="16">
        <f>IF(RAE_SP_PRE[[#This Row],[Rôle ou catégorie]]="","",IF(RAE_SP_PRE[[#This Row],[Type]]="Hors main-d’œuvre",N(RAE_SP_PRE[[#This Row],[Débours restant]]),0))</f>
        <v>0</v>
      </c>
      <c r="P19" s="16">
        <f>IF(RAE_SP_PRE[[#This Row],[Rôle ou catégorie]]="","",RAE_SP_PRE[[#This Row],[Main-d’œuvre]]+RAE_SP_PRE[[#This Row],[Débours]])</f>
        <v>0</v>
      </c>
      <c r="Q19" s="15">
        <f>IF(RAE_SP_PRE[[#This Row],[Rôle ou catégorie]]="","",IFERROR(INDEX(Referentiel[[Type de nature]],MATCH(RAE_SP_PRE[[#This Row],[Rôle ou catégorie]],Referentiel[[Entrée]],0)),"?"))</f>
        <v>0</v>
      </c>
      <c r="R19" s="15">
        <f>IFERROR(INDEX(Taches[[Coefficient]],MATCH(RAE_SP_PRE[[#This Row],[Tâche]],Taches[[Entrée]],0)),1)</f>
        <v>0</v>
      </c>
      <c r="S19" s="15" t="s">
        <v>106</v>
      </c>
    </row>
    <row r="20" spans="1:19">
      <c r="A20" s="14" t="s">
        <v>64</v>
      </c>
      <c r="B20" s="15">
        <f>IF(RAE_SP_PRE[[#This Row],[Tâche]]="","",IFERROR(INDEX(Taches[[Description]],MATCH(RAE_SP_PRE[[#This Row],[Tâche]],Taches[[Entrée]],0)),""))</f>
        <v>0</v>
      </c>
      <c r="C20" s="15">
        <f>IF(RAE_SP_PRE[[#This Row],[Tâche]]="","",IFERROR(INDEX(Taches[[État]],MATCH(RAE_SP_PRE[[#This Row],[Tâche]],Taches[[Entrée]],0)),""))</f>
        <v>0</v>
      </c>
      <c r="D20" s="14" t="s">
        <v>46</v>
      </c>
      <c r="E20" s="14"/>
      <c r="F20" s="16">
        <v>8670</v>
      </c>
      <c r="G20" s="16">
        <v>8670</v>
      </c>
      <c r="H20" s="8"/>
      <c r="I20" s="6">
        <v>8670</v>
      </c>
      <c r="J20" s="15">
        <f>IF(RAE_SP_PRE[[#This Row],[Rôle ou catégorie]]="","",IFERROR(INDEX(Referentiel[[Nature]],MATCH(RAE_SP_PRE[[#This Row],[Rôle ou catégorie]],Referentiel[[Entrée]],0)),"?"))</f>
        <v>0</v>
      </c>
      <c r="K20" s="15">
        <f>IF(RAE_SP_PRE[[#This Row],[Rôle ou catégorie]]="","",IFERROR(INDEX(Referentiel[[Code comptable]],MATCH(RAE_SP_PRE[[#This Row],[Rôle ou catégorie]],Referentiel[[Entrée]],0)),"?"))</f>
        <v>0</v>
      </c>
      <c r="L20" s="15">
        <f>IF(RAE_SP_PRE[[#This Row],[Rôle ou catégorie]]="","",IFERROR(INDEX(Referentiel[[Service]],MATCH(RAE_SP_PRE[[#This Row],[Rôle ou catégorie]],Referentiel[[Entrée]],0)),"?")&amp;"")</f>
        <v>0</v>
      </c>
      <c r="M20" s="15">
        <f>IF(RAE_SP_PRE[[#This Row],[Rôle ou catégorie]]="","",IFERROR(INDEX(Referentiel[[Taux horaire]],MATCH(RAE_SP_PRE[[#This Row],[Rôle ou catégorie]],Referentiel[[Entrée]],0)),"?"))</f>
        <v>0</v>
      </c>
      <c r="N20" s="16">
        <f>IF(RAE_SP_PRE[[#This Row],[Rôle ou catégorie]]="","",IF(RAE_SP_PRE[[#This Row],[Type]]="Main-d’œuvre",N(RAE_SP_PRE[[#This Row],[Jours restants]])*HeuresParJour*RAE_SP_PRE[[#This Row],[Taux horaire]]*RAE_SP_PRE[[#This Row],[Coefficient]],0))</f>
        <v>0</v>
      </c>
      <c r="O20" s="16">
        <f>IF(RAE_SP_PRE[[#This Row],[Rôle ou catégorie]]="","",IF(RAE_SP_PRE[[#This Row],[Type]]="Hors main-d’œuvre",N(RAE_SP_PRE[[#This Row],[Débours restant]]),0))</f>
        <v>0</v>
      </c>
      <c r="P20" s="16">
        <f>IF(RAE_SP_PRE[[#This Row],[Rôle ou catégorie]]="","",RAE_SP_PRE[[#This Row],[Main-d’œuvre]]+RAE_SP_PRE[[#This Row],[Débours]])</f>
        <v>0</v>
      </c>
      <c r="Q20" s="15">
        <f>IF(RAE_SP_PRE[[#This Row],[Rôle ou catégorie]]="","",IFERROR(INDEX(Referentiel[[Type de nature]],MATCH(RAE_SP_PRE[[#This Row],[Rôle ou catégorie]],Referentiel[[Entrée]],0)),"?"))</f>
        <v>0</v>
      </c>
      <c r="R20" s="15">
        <f>IFERROR(INDEX(Taches[[Coefficient]],MATCH(RAE_SP_PRE[[#This Row],[Tâche]],Taches[[Entrée]],0)),1)</f>
        <v>0</v>
      </c>
      <c r="S20" s="15" t="s">
        <v>107</v>
      </c>
    </row>
    <row r="21" spans="1:19">
      <c r="A21" s="14" t="s">
        <v>68</v>
      </c>
      <c r="B21" s="15">
        <f>IF(RAE_SP_PRE[[#This Row],[Tâche]]="","",IFERROR(INDEX(Taches[[Description]],MATCH(RAE_SP_PRE[[#This Row],[Tâche]],Taches[[Entrée]],0)),""))</f>
        <v>0</v>
      </c>
      <c r="C21" s="15">
        <f>IF(RAE_SP_PRE[[#This Row],[Tâche]]="","",IFERROR(INDEX(Taches[[État]],MATCH(RAE_SP_PRE[[#This Row],[Tâche]],Taches[[Entrée]],0)),""))</f>
        <v>0</v>
      </c>
      <c r="D21" s="14" t="s">
        <v>18</v>
      </c>
      <c r="E21" s="14"/>
      <c r="F21" s="16">
        <v>4528.8</v>
      </c>
      <c r="G21" s="16">
        <v>4528.8</v>
      </c>
      <c r="H21" s="8">
        <v>9.25</v>
      </c>
      <c r="I21" s="6"/>
      <c r="J21" s="15">
        <f>IF(RAE_SP_PRE[[#This Row],[Rôle ou catégorie]]="","",IFERROR(INDEX(Referentiel[[Nature]],MATCH(RAE_SP_PRE[[#This Row],[Rôle ou catégorie]],Referentiel[[Entrée]],0)),"?"))</f>
        <v>0</v>
      </c>
      <c r="K21" s="15">
        <f>IF(RAE_SP_PRE[[#This Row],[Rôle ou catégorie]]="","",IFERROR(INDEX(Referentiel[[Code comptable]],MATCH(RAE_SP_PRE[[#This Row],[Rôle ou catégorie]],Referentiel[[Entrée]],0)),"?"))</f>
        <v>0</v>
      </c>
      <c r="L21" s="15">
        <f>IF(RAE_SP_PRE[[#This Row],[Rôle ou catégorie]]="","",IFERROR(INDEX(Referentiel[[Service]],MATCH(RAE_SP_PRE[[#This Row],[Rôle ou catégorie]],Referentiel[[Entrée]],0)),"?")&amp;"")</f>
        <v>0</v>
      </c>
      <c r="M21" s="15">
        <f>IF(RAE_SP_PRE[[#This Row],[Rôle ou catégorie]]="","",IFERROR(INDEX(Referentiel[[Taux horaire]],MATCH(RAE_SP_PRE[[#This Row],[Rôle ou catégorie]],Referentiel[[Entrée]],0)),"?"))</f>
        <v>0</v>
      </c>
      <c r="N21" s="16">
        <f>IF(RAE_SP_PRE[[#This Row],[Rôle ou catégorie]]="","",IF(RAE_SP_PRE[[#This Row],[Type]]="Main-d’œuvre",N(RAE_SP_PRE[[#This Row],[Jours restants]])*HeuresParJour*RAE_SP_PRE[[#This Row],[Taux horaire]]*RAE_SP_PRE[[#This Row],[Coefficient]],0))</f>
        <v>0</v>
      </c>
      <c r="O21" s="16">
        <f>IF(RAE_SP_PRE[[#This Row],[Rôle ou catégorie]]="","",IF(RAE_SP_PRE[[#This Row],[Type]]="Hors main-d’œuvre",N(RAE_SP_PRE[[#This Row],[Débours restant]]),0))</f>
        <v>0</v>
      </c>
      <c r="P21" s="16">
        <f>IF(RAE_SP_PRE[[#This Row],[Rôle ou catégorie]]="","",RAE_SP_PRE[[#This Row],[Main-d’œuvre]]+RAE_SP_PRE[[#This Row],[Débours]])</f>
        <v>0</v>
      </c>
      <c r="Q21" s="15">
        <f>IF(RAE_SP_PRE[[#This Row],[Rôle ou catégorie]]="","",IFERROR(INDEX(Referentiel[[Type de nature]],MATCH(RAE_SP_PRE[[#This Row],[Rôle ou catégorie]],Referentiel[[Entrée]],0)),"?"))</f>
        <v>0</v>
      </c>
      <c r="R21" s="15">
        <f>IFERROR(INDEX(Taches[[Coefficient]],MATCH(RAE_SP_PRE[[#This Row],[Tâche]],Taches[[Entrée]],0)),1)</f>
        <v>0</v>
      </c>
      <c r="S21" s="15" t="s">
        <v>108</v>
      </c>
    </row>
    <row r="22" spans="1:19">
      <c r="A22" s="14" t="s">
        <v>68</v>
      </c>
      <c r="B22" s="15">
        <f>IF(RAE_SP_PRE[[#This Row],[Tâche]]="","",IFERROR(INDEX(Taches[[Description]],MATCH(RAE_SP_PRE[[#This Row],[Tâche]],Taches[[Entrée]],0)),""))</f>
        <v>0</v>
      </c>
      <c r="C22" s="15">
        <f>IF(RAE_SP_PRE[[#This Row],[Tâche]]="","",IFERROR(INDEX(Taches[[État]],MATCH(RAE_SP_PRE[[#This Row],[Tâche]],Taches[[Entrée]],0)),""))</f>
        <v>0</v>
      </c>
      <c r="D22" s="14" t="s">
        <v>34</v>
      </c>
      <c r="E22" s="14"/>
      <c r="F22" s="16">
        <v>4528.8</v>
      </c>
      <c r="G22" s="16">
        <v>4528.8</v>
      </c>
      <c r="H22" s="8">
        <v>9.25</v>
      </c>
      <c r="I22" s="6"/>
      <c r="J22" s="15">
        <f>IF(RAE_SP_PRE[[#This Row],[Rôle ou catégorie]]="","",IFERROR(INDEX(Referentiel[[Nature]],MATCH(RAE_SP_PRE[[#This Row],[Rôle ou catégorie]],Referentiel[[Entrée]],0)),"?"))</f>
        <v>0</v>
      </c>
      <c r="K22" s="15">
        <f>IF(RAE_SP_PRE[[#This Row],[Rôle ou catégorie]]="","",IFERROR(INDEX(Referentiel[[Code comptable]],MATCH(RAE_SP_PRE[[#This Row],[Rôle ou catégorie]],Referentiel[[Entrée]],0)),"?"))</f>
        <v>0</v>
      </c>
      <c r="L22" s="15">
        <f>IF(RAE_SP_PRE[[#This Row],[Rôle ou catégorie]]="","",IFERROR(INDEX(Referentiel[[Service]],MATCH(RAE_SP_PRE[[#This Row],[Rôle ou catégorie]],Referentiel[[Entrée]],0)),"?")&amp;"")</f>
        <v>0</v>
      </c>
      <c r="M22" s="15">
        <f>IF(RAE_SP_PRE[[#This Row],[Rôle ou catégorie]]="","",IFERROR(INDEX(Referentiel[[Taux horaire]],MATCH(RAE_SP_PRE[[#This Row],[Rôle ou catégorie]],Referentiel[[Entrée]],0)),"?"))</f>
        <v>0</v>
      </c>
      <c r="N22" s="16">
        <f>IF(RAE_SP_PRE[[#This Row],[Rôle ou catégorie]]="","",IF(RAE_SP_PRE[[#This Row],[Type]]="Main-d’œuvre",N(RAE_SP_PRE[[#This Row],[Jours restants]])*HeuresParJour*RAE_SP_PRE[[#This Row],[Taux horaire]]*RAE_SP_PRE[[#This Row],[Coefficient]],0))</f>
        <v>0</v>
      </c>
      <c r="O22" s="16">
        <f>IF(RAE_SP_PRE[[#This Row],[Rôle ou catégorie]]="","",IF(RAE_SP_PRE[[#This Row],[Type]]="Hors main-d’œuvre",N(RAE_SP_PRE[[#This Row],[Débours restant]]),0))</f>
        <v>0</v>
      </c>
      <c r="P22" s="16">
        <f>IF(RAE_SP_PRE[[#This Row],[Rôle ou catégorie]]="","",RAE_SP_PRE[[#This Row],[Main-d’œuvre]]+RAE_SP_PRE[[#This Row],[Débours]])</f>
        <v>0</v>
      </c>
      <c r="Q22" s="15">
        <f>IF(RAE_SP_PRE[[#This Row],[Rôle ou catégorie]]="","",IFERROR(INDEX(Referentiel[[Type de nature]],MATCH(RAE_SP_PRE[[#This Row],[Rôle ou catégorie]],Referentiel[[Entrée]],0)),"?"))</f>
        <v>0</v>
      </c>
      <c r="R22" s="15">
        <f>IFERROR(INDEX(Taches[[Coefficient]],MATCH(RAE_SP_PRE[[#This Row],[Tâche]],Taches[[Entrée]],0)),1)</f>
        <v>0</v>
      </c>
      <c r="S22" s="15" t="s">
        <v>109</v>
      </c>
    </row>
    <row r="23" spans="1:19">
      <c r="A23" s="14"/>
      <c r="B23" s="15">
        <f>IF(RAE_SP_PRE[[#This Row],[Tâche]]="","",IFERROR(INDEX(Taches[[Description]],MATCH(RAE_SP_PRE[[#This Row],[Tâche]],Taches[[Entrée]],0)),""))</f>
        <v>0</v>
      </c>
      <c r="C23" s="15">
        <f>IF(RAE_SP_PRE[[#This Row],[Tâche]]="","",IFERROR(INDEX(Taches[[État]],MATCH(RAE_SP_PRE[[#This Row],[Tâche]],Taches[[Entrée]],0)),""))</f>
        <v>0</v>
      </c>
      <c r="D23" s="14"/>
      <c r="E23" s="14"/>
      <c r="F23" s="16"/>
      <c r="G23" s="16"/>
      <c r="H23" s="8"/>
      <c r="I23" s="6"/>
      <c r="J23" s="15">
        <f>IF(RAE_SP_PRE[[#This Row],[Rôle ou catégorie]]="","",IFERROR(INDEX(Referentiel[[Nature]],MATCH(RAE_SP_PRE[[#This Row],[Rôle ou catégorie]],Referentiel[[Entrée]],0)),"?"))</f>
        <v>0</v>
      </c>
      <c r="K23" s="15">
        <f>IF(RAE_SP_PRE[[#This Row],[Rôle ou catégorie]]="","",IFERROR(INDEX(Referentiel[[Code comptable]],MATCH(RAE_SP_PRE[[#This Row],[Rôle ou catégorie]],Referentiel[[Entrée]],0)),"?"))</f>
        <v>0</v>
      </c>
      <c r="L23" s="15">
        <f>IF(RAE_SP_PRE[[#This Row],[Rôle ou catégorie]]="","",IFERROR(INDEX(Referentiel[[Service]],MATCH(RAE_SP_PRE[[#This Row],[Rôle ou catégorie]],Referentiel[[Entrée]],0)),"?")&amp;"")</f>
        <v>0</v>
      </c>
      <c r="M23" s="15">
        <f>IF(RAE_SP_PRE[[#This Row],[Rôle ou catégorie]]="","",IFERROR(INDEX(Referentiel[[Taux horaire]],MATCH(RAE_SP_PRE[[#This Row],[Rôle ou catégorie]],Referentiel[[Entrée]],0)),"?"))</f>
        <v>0</v>
      </c>
      <c r="N23" s="16">
        <f>IF(RAE_SP_PRE[[#This Row],[Rôle ou catégorie]]="","",IF(RAE_SP_PRE[[#This Row],[Type]]="Main-d’œuvre",N(RAE_SP_PRE[[#This Row],[Jours restants]])*HeuresParJour*RAE_SP_PRE[[#This Row],[Taux horaire]]*RAE_SP_PRE[[#This Row],[Coefficient]],0))</f>
        <v>0</v>
      </c>
      <c r="O23" s="16">
        <f>IF(RAE_SP_PRE[[#This Row],[Rôle ou catégorie]]="","",IF(RAE_SP_PRE[[#This Row],[Type]]="Hors main-d’œuvre",N(RAE_SP_PRE[[#This Row],[Débours restant]]),0))</f>
        <v>0</v>
      </c>
      <c r="P23" s="16">
        <f>IF(RAE_SP_PRE[[#This Row],[Rôle ou catégorie]]="","",RAE_SP_PRE[[#This Row],[Main-d’œuvre]]+RAE_SP_PRE[[#This Row],[Débours]])</f>
        <v>0</v>
      </c>
      <c r="Q23" s="15">
        <f>IF(RAE_SP_PRE[[#This Row],[Rôle ou catégorie]]="","",IFERROR(INDEX(Referentiel[[Type de nature]],MATCH(RAE_SP_PRE[[#This Row],[Rôle ou catégorie]],Referentiel[[Entrée]],0)),"?"))</f>
        <v>0</v>
      </c>
      <c r="R23" s="15">
        <f>IFERROR(INDEX(Taches[[Coefficient]],MATCH(RAE_SP_PRE[[#This Row],[Tâche]],Taches[[Entrée]],0)),1)</f>
        <v>0</v>
      </c>
      <c r="S23" s="15"/>
    </row>
    <row r="24" spans="1:19">
      <c r="A24" s="14"/>
      <c r="B24" s="15">
        <f>IF(RAE_SP_PRE[[#This Row],[Tâche]]="","",IFERROR(INDEX(Taches[[Description]],MATCH(RAE_SP_PRE[[#This Row],[Tâche]],Taches[[Entrée]],0)),""))</f>
        <v>0</v>
      </c>
      <c r="C24" s="15">
        <f>IF(RAE_SP_PRE[[#This Row],[Tâche]]="","",IFERROR(INDEX(Taches[[État]],MATCH(RAE_SP_PRE[[#This Row],[Tâche]],Taches[[Entrée]],0)),""))</f>
        <v>0</v>
      </c>
      <c r="D24" s="14"/>
      <c r="E24" s="14"/>
      <c r="F24" s="16"/>
      <c r="G24" s="16"/>
      <c r="H24" s="8"/>
      <c r="I24" s="6"/>
      <c r="J24" s="15">
        <f>IF(RAE_SP_PRE[[#This Row],[Rôle ou catégorie]]="","",IFERROR(INDEX(Referentiel[[Nature]],MATCH(RAE_SP_PRE[[#This Row],[Rôle ou catégorie]],Referentiel[[Entrée]],0)),"?"))</f>
        <v>0</v>
      </c>
      <c r="K24" s="15">
        <f>IF(RAE_SP_PRE[[#This Row],[Rôle ou catégorie]]="","",IFERROR(INDEX(Referentiel[[Code comptable]],MATCH(RAE_SP_PRE[[#This Row],[Rôle ou catégorie]],Referentiel[[Entrée]],0)),"?"))</f>
        <v>0</v>
      </c>
      <c r="L24" s="15">
        <f>IF(RAE_SP_PRE[[#This Row],[Rôle ou catégorie]]="","",IFERROR(INDEX(Referentiel[[Service]],MATCH(RAE_SP_PRE[[#This Row],[Rôle ou catégorie]],Referentiel[[Entrée]],0)),"?")&amp;"")</f>
        <v>0</v>
      </c>
      <c r="M24" s="15">
        <f>IF(RAE_SP_PRE[[#This Row],[Rôle ou catégorie]]="","",IFERROR(INDEX(Referentiel[[Taux horaire]],MATCH(RAE_SP_PRE[[#This Row],[Rôle ou catégorie]],Referentiel[[Entrée]],0)),"?"))</f>
        <v>0</v>
      </c>
      <c r="N24" s="16">
        <f>IF(RAE_SP_PRE[[#This Row],[Rôle ou catégorie]]="","",IF(RAE_SP_PRE[[#This Row],[Type]]="Main-d’œuvre",N(RAE_SP_PRE[[#This Row],[Jours restants]])*HeuresParJour*RAE_SP_PRE[[#This Row],[Taux horaire]]*RAE_SP_PRE[[#This Row],[Coefficient]],0))</f>
        <v>0</v>
      </c>
      <c r="O24" s="16">
        <f>IF(RAE_SP_PRE[[#This Row],[Rôle ou catégorie]]="","",IF(RAE_SP_PRE[[#This Row],[Type]]="Hors main-d’œuvre",N(RAE_SP_PRE[[#This Row],[Débours restant]]),0))</f>
        <v>0</v>
      </c>
      <c r="P24" s="16">
        <f>IF(RAE_SP_PRE[[#This Row],[Rôle ou catégorie]]="","",RAE_SP_PRE[[#This Row],[Main-d’œuvre]]+RAE_SP_PRE[[#This Row],[Débours]])</f>
        <v>0</v>
      </c>
      <c r="Q24" s="15">
        <f>IF(RAE_SP_PRE[[#This Row],[Rôle ou catégorie]]="","",IFERROR(INDEX(Referentiel[[Type de nature]],MATCH(RAE_SP_PRE[[#This Row],[Rôle ou catégorie]],Referentiel[[Entrée]],0)),"?"))</f>
        <v>0</v>
      </c>
      <c r="R24" s="15">
        <f>IFERROR(INDEX(Taches[[Coefficient]],MATCH(RAE_SP_PRE[[#This Row],[Tâche]],Taches[[Entrée]],0)),1)</f>
        <v>0</v>
      </c>
      <c r="S24" s="15"/>
    </row>
    <row r="25" spans="1:19">
      <c r="A25" s="14"/>
      <c r="B25" s="15">
        <f>IF(RAE_SP_PRE[[#This Row],[Tâche]]="","",IFERROR(INDEX(Taches[[Description]],MATCH(RAE_SP_PRE[[#This Row],[Tâche]],Taches[[Entrée]],0)),""))</f>
        <v>0</v>
      </c>
      <c r="C25" s="15">
        <f>IF(RAE_SP_PRE[[#This Row],[Tâche]]="","",IFERROR(INDEX(Taches[[État]],MATCH(RAE_SP_PRE[[#This Row],[Tâche]],Taches[[Entrée]],0)),""))</f>
        <v>0</v>
      </c>
      <c r="D25" s="14"/>
      <c r="E25" s="14"/>
      <c r="F25" s="16"/>
      <c r="G25" s="16"/>
      <c r="H25" s="8"/>
      <c r="I25" s="6"/>
      <c r="J25" s="15">
        <f>IF(RAE_SP_PRE[[#This Row],[Rôle ou catégorie]]="","",IFERROR(INDEX(Referentiel[[Nature]],MATCH(RAE_SP_PRE[[#This Row],[Rôle ou catégorie]],Referentiel[[Entrée]],0)),"?"))</f>
        <v>0</v>
      </c>
      <c r="K25" s="15">
        <f>IF(RAE_SP_PRE[[#This Row],[Rôle ou catégorie]]="","",IFERROR(INDEX(Referentiel[[Code comptable]],MATCH(RAE_SP_PRE[[#This Row],[Rôle ou catégorie]],Referentiel[[Entrée]],0)),"?"))</f>
        <v>0</v>
      </c>
      <c r="L25" s="15">
        <f>IF(RAE_SP_PRE[[#This Row],[Rôle ou catégorie]]="","",IFERROR(INDEX(Referentiel[[Service]],MATCH(RAE_SP_PRE[[#This Row],[Rôle ou catégorie]],Referentiel[[Entrée]],0)),"?")&amp;"")</f>
        <v>0</v>
      </c>
      <c r="M25" s="15">
        <f>IF(RAE_SP_PRE[[#This Row],[Rôle ou catégorie]]="","",IFERROR(INDEX(Referentiel[[Taux horaire]],MATCH(RAE_SP_PRE[[#This Row],[Rôle ou catégorie]],Referentiel[[Entrée]],0)),"?"))</f>
        <v>0</v>
      </c>
      <c r="N25" s="16">
        <f>IF(RAE_SP_PRE[[#This Row],[Rôle ou catégorie]]="","",IF(RAE_SP_PRE[[#This Row],[Type]]="Main-d’œuvre",N(RAE_SP_PRE[[#This Row],[Jours restants]])*HeuresParJour*RAE_SP_PRE[[#This Row],[Taux horaire]]*RAE_SP_PRE[[#This Row],[Coefficient]],0))</f>
        <v>0</v>
      </c>
      <c r="O25" s="16">
        <f>IF(RAE_SP_PRE[[#This Row],[Rôle ou catégorie]]="","",IF(RAE_SP_PRE[[#This Row],[Type]]="Hors main-d’œuvre",N(RAE_SP_PRE[[#This Row],[Débours restant]]),0))</f>
        <v>0</v>
      </c>
      <c r="P25" s="16">
        <f>IF(RAE_SP_PRE[[#This Row],[Rôle ou catégorie]]="","",RAE_SP_PRE[[#This Row],[Main-d’œuvre]]+RAE_SP_PRE[[#This Row],[Débours]])</f>
        <v>0</v>
      </c>
      <c r="Q25" s="15">
        <f>IF(RAE_SP_PRE[[#This Row],[Rôle ou catégorie]]="","",IFERROR(INDEX(Referentiel[[Type de nature]],MATCH(RAE_SP_PRE[[#This Row],[Rôle ou catégorie]],Referentiel[[Entrée]],0)),"?"))</f>
        <v>0</v>
      </c>
      <c r="R25" s="15">
        <f>IFERROR(INDEX(Taches[[Coefficient]],MATCH(RAE_SP_PRE[[#This Row],[Tâche]],Taches[[Entrée]],0)),1)</f>
        <v>0</v>
      </c>
      <c r="S25" s="15"/>
    </row>
    <row r="26" spans="1:19">
      <c r="A26" s="14"/>
      <c r="B26" s="15">
        <f>IF(RAE_SP_PRE[[#This Row],[Tâche]]="","",IFERROR(INDEX(Taches[[Description]],MATCH(RAE_SP_PRE[[#This Row],[Tâche]],Taches[[Entrée]],0)),""))</f>
        <v>0</v>
      </c>
      <c r="C26" s="15">
        <f>IF(RAE_SP_PRE[[#This Row],[Tâche]]="","",IFERROR(INDEX(Taches[[État]],MATCH(RAE_SP_PRE[[#This Row],[Tâche]],Taches[[Entrée]],0)),""))</f>
        <v>0</v>
      </c>
      <c r="D26" s="14"/>
      <c r="E26" s="14"/>
      <c r="F26" s="16"/>
      <c r="G26" s="16"/>
      <c r="H26" s="8"/>
      <c r="I26" s="6"/>
      <c r="J26" s="15">
        <f>IF(RAE_SP_PRE[[#This Row],[Rôle ou catégorie]]="","",IFERROR(INDEX(Referentiel[[Nature]],MATCH(RAE_SP_PRE[[#This Row],[Rôle ou catégorie]],Referentiel[[Entrée]],0)),"?"))</f>
        <v>0</v>
      </c>
      <c r="K26" s="15">
        <f>IF(RAE_SP_PRE[[#This Row],[Rôle ou catégorie]]="","",IFERROR(INDEX(Referentiel[[Code comptable]],MATCH(RAE_SP_PRE[[#This Row],[Rôle ou catégorie]],Referentiel[[Entrée]],0)),"?"))</f>
        <v>0</v>
      </c>
      <c r="L26" s="15">
        <f>IF(RAE_SP_PRE[[#This Row],[Rôle ou catégorie]]="","",IFERROR(INDEX(Referentiel[[Service]],MATCH(RAE_SP_PRE[[#This Row],[Rôle ou catégorie]],Referentiel[[Entrée]],0)),"?")&amp;"")</f>
        <v>0</v>
      </c>
      <c r="M26" s="15">
        <f>IF(RAE_SP_PRE[[#This Row],[Rôle ou catégorie]]="","",IFERROR(INDEX(Referentiel[[Taux horaire]],MATCH(RAE_SP_PRE[[#This Row],[Rôle ou catégorie]],Referentiel[[Entrée]],0)),"?"))</f>
        <v>0</v>
      </c>
      <c r="N26" s="16">
        <f>IF(RAE_SP_PRE[[#This Row],[Rôle ou catégorie]]="","",IF(RAE_SP_PRE[[#This Row],[Type]]="Main-d’œuvre",N(RAE_SP_PRE[[#This Row],[Jours restants]])*HeuresParJour*RAE_SP_PRE[[#This Row],[Taux horaire]]*RAE_SP_PRE[[#This Row],[Coefficient]],0))</f>
        <v>0</v>
      </c>
      <c r="O26" s="16">
        <f>IF(RAE_SP_PRE[[#This Row],[Rôle ou catégorie]]="","",IF(RAE_SP_PRE[[#This Row],[Type]]="Hors main-d’œuvre",N(RAE_SP_PRE[[#This Row],[Débours restant]]),0))</f>
        <v>0</v>
      </c>
      <c r="P26" s="16">
        <f>IF(RAE_SP_PRE[[#This Row],[Rôle ou catégorie]]="","",RAE_SP_PRE[[#This Row],[Main-d’œuvre]]+RAE_SP_PRE[[#This Row],[Débours]])</f>
        <v>0</v>
      </c>
      <c r="Q26" s="15">
        <f>IF(RAE_SP_PRE[[#This Row],[Rôle ou catégorie]]="","",IFERROR(INDEX(Referentiel[[Type de nature]],MATCH(RAE_SP_PRE[[#This Row],[Rôle ou catégorie]],Referentiel[[Entrée]],0)),"?"))</f>
        <v>0</v>
      </c>
      <c r="R26" s="15">
        <f>IFERROR(INDEX(Taches[[Coefficient]],MATCH(RAE_SP_PRE[[#This Row],[Tâche]],Taches[[Entrée]],0)),1)</f>
        <v>0</v>
      </c>
      <c r="S26" s="15"/>
    </row>
    <row r="27" spans="1:19">
      <c r="A27" s="14"/>
      <c r="B27" s="15">
        <f>IF(RAE_SP_PRE[[#This Row],[Tâche]]="","",IFERROR(INDEX(Taches[[Description]],MATCH(RAE_SP_PRE[[#This Row],[Tâche]],Taches[[Entrée]],0)),""))</f>
        <v>0</v>
      </c>
      <c r="C27" s="15">
        <f>IF(RAE_SP_PRE[[#This Row],[Tâche]]="","",IFERROR(INDEX(Taches[[État]],MATCH(RAE_SP_PRE[[#This Row],[Tâche]],Taches[[Entrée]],0)),""))</f>
        <v>0</v>
      </c>
      <c r="D27" s="14"/>
      <c r="E27" s="14"/>
      <c r="F27" s="16"/>
      <c r="G27" s="16"/>
      <c r="H27" s="8"/>
      <c r="I27" s="6"/>
      <c r="J27" s="15">
        <f>IF(RAE_SP_PRE[[#This Row],[Rôle ou catégorie]]="","",IFERROR(INDEX(Referentiel[[Nature]],MATCH(RAE_SP_PRE[[#This Row],[Rôle ou catégorie]],Referentiel[[Entrée]],0)),"?"))</f>
        <v>0</v>
      </c>
      <c r="K27" s="15">
        <f>IF(RAE_SP_PRE[[#This Row],[Rôle ou catégorie]]="","",IFERROR(INDEX(Referentiel[[Code comptable]],MATCH(RAE_SP_PRE[[#This Row],[Rôle ou catégorie]],Referentiel[[Entrée]],0)),"?"))</f>
        <v>0</v>
      </c>
      <c r="L27" s="15">
        <f>IF(RAE_SP_PRE[[#This Row],[Rôle ou catégorie]]="","",IFERROR(INDEX(Referentiel[[Service]],MATCH(RAE_SP_PRE[[#This Row],[Rôle ou catégorie]],Referentiel[[Entrée]],0)),"?")&amp;"")</f>
        <v>0</v>
      </c>
      <c r="M27" s="15">
        <f>IF(RAE_SP_PRE[[#This Row],[Rôle ou catégorie]]="","",IFERROR(INDEX(Referentiel[[Taux horaire]],MATCH(RAE_SP_PRE[[#This Row],[Rôle ou catégorie]],Referentiel[[Entrée]],0)),"?"))</f>
        <v>0</v>
      </c>
      <c r="N27" s="16">
        <f>IF(RAE_SP_PRE[[#This Row],[Rôle ou catégorie]]="","",IF(RAE_SP_PRE[[#This Row],[Type]]="Main-d’œuvre",N(RAE_SP_PRE[[#This Row],[Jours restants]])*HeuresParJour*RAE_SP_PRE[[#This Row],[Taux horaire]]*RAE_SP_PRE[[#This Row],[Coefficient]],0))</f>
        <v>0</v>
      </c>
      <c r="O27" s="16">
        <f>IF(RAE_SP_PRE[[#This Row],[Rôle ou catégorie]]="","",IF(RAE_SP_PRE[[#This Row],[Type]]="Hors main-d’œuvre",N(RAE_SP_PRE[[#This Row],[Débours restant]]),0))</f>
        <v>0</v>
      </c>
      <c r="P27" s="16">
        <f>IF(RAE_SP_PRE[[#This Row],[Rôle ou catégorie]]="","",RAE_SP_PRE[[#This Row],[Main-d’œuvre]]+RAE_SP_PRE[[#This Row],[Débours]])</f>
        <v>0</v>
      </c>
      <c r="Q27" s="15">
        <f>IF(RAE_SP_PRE[[#This Row],[Rôle ou catégorie]]="","",IFERROR(INDEX(Referentiel[[Type de nature]],MATCH(RAE_SP_PRE[[#This Row],[Rôle ou catégorie]],Referentiel[[Entrée]],0)),"?"))</f>
        <v>0</v>
      </c>
      <c r="R27" s="15">
        <f>IFERROR(INDEX(Taches[[Coefficient]],MATCH(RAE_SP_PRE[[#This Row],[Tâche]],Taches[[Entrée]],0)),1)</f>
        <v>0</v>
      </c>
      <c r="S27" s="15"/>
    </row>
    <row r="28" spans="1:19">
      <c r="A28" s="14"/>
      <c r="B28" s="15">
        <f>IF(RAE_SP_PRE[[#This Row],[Tâche]]="","",IFERROR(INDEX(Taches[[Description]],MATCH(RAE_SP_PRE[[#This Row],[Tâche]],Taches[[Entrée]],0)),""))</f>
        <v>0</v>
      </c>
      <c r="C28" s="15">
        <f>IF(RAE_SP_PRE[[#This Row],[Tâche]]="","",IFERROR(INDEX(Taches[[État]],MATCH(RAE_SP_PRE[[#This Row],[Tâche]],Taches[[Entrée]],0)),""))</f>
        <v>0</v>
      </c>
      <c r="D28" s="14"/>
      <c r="E28" s="14"/>
      <c r="F28" s="16"/>
      <c r="G28" s="16"/>
      <c r="H28" s="8"/>
      <c r="I28" s="6"/>
      <c r="J28" s="15">
        <f>IF(RAE_SP_PRE[[#This Row],[Rôle ou catégorie]]="","",IFERROR(INDEX(Referentiel[[Nature]],MATCH(RAE_SP_PRE[[#This Row],[Rôle ou catégorie]],Referentiel[[Entrée]],0)),"?"))</f>
        <v>0</v>
      </c>
      <c r="K28" s="15">
        <f>IF(RAE_SP_PRE[[#This Row],[Rôle ou catégorie]]="","",IFERROR(INDEX(Referentiel[[Code comptable]],MATCH(RAE_SP_PRE[[#This Row],[Rôle ou catégorie]],Referentiel[[Entrée]],0)),"?"))</f>
        <v>0</v>
      </c>
      <c r="L28" s="15">
        <f>IF(RAE_SP_PRE[[#This Row],[Rôle ou catégorie]]="","",IFERROR(INDEX(Referentiel[[Service]],MATCH(RAE_SP_PRE[[#This Row],[Rôle ou catégorie]],Referentiel[[Entrée]],0)),"?")&amp;"")</f>
        <v>0</v>
      </c>
      <c r="M28" s="15">
        <f>IF(RAE_SP_PRE[[#This Row],[Rôle ou catégorie]]="","",IFERROR(INDEX(Referentiel[[Taux horaire]],MATCH(RAE_SP_PRE[[#This Row],[Rôle ou catégorie]],Referentiel[[Entrée]],0)),"?"))</f>
        <v>0</v>
      </c>
      <c r="N28" s="16">
        <f>IF(RAE_SP_PRE[[#This Row],[Rôle ou catégorie]]="","",IF(RAE_SP_PRE[[#This Row],[Type]]="Main-d’œuvre",N(RAE_SP_PRE[[#This Row],[Jours restants]])*HeuresParJour*RAE_SP_PRE[[#This Row],[Taux horaire]]*RAE_SP_PRE[[#This Row],[Coefficient]],0))</f>
        <v>0</v>
      </c>
      <c r="O28" s="16">
        <f>IF(RAE_SP_PRE[[#This Row],[Rôle ou catégorie]]="","",IF(RAE_SP_PRE[[#This Row],[Type]]="Hors main-d’œuvre",N(RAE_SP_PRE[[#This Row],[Débours restant]]),0))</f>
        <v>0</v>
      </c>
      <c r="P28" s="16">
        <f>IF(RAE_SP_PRE[[#This Row],[Rôle ou catégorie]]="","",RAE_SP_PRE[[#This Row],[Main-d’œuvre]]+RAE_SP_PRE[[#This Row],[Débours]])</f>
        <v>0</v>
      </c>
      <c r="Q28" s="15">
        <f>IF(RAE_SP_PRE[[#This Row],[Rôle ou catégorie]]="","",IFERROR(INDEX(Referentiel[[Type de nature]],MATCH(RAE_SP_PRE[[#This Row],[Rôle ou catégorie]],Referentiel[[Entrée]],0)),"?"))</f>
        <v>0</v>
      </c>
      <c r="R28" s="15">
        <f>IFERROR(INDEX(Taches[[Coefficient]],MATCH(RAE_SP_PRE[[#This Row],[Tâche]],Taches[[Entrée]],0)),1)</f>
        <v>0</v>
      </c>
      <c r="S28" s="15"/>
    </row>
    <row r="29" spans="1:19">
      <c r="A29" s="14"/>
      <c r="B29" s="15">
        <f>IF(RAE_SP_PRE[[#This Row],[Tâche]]="","",IFERROR(INDEX(Taches[[Description]],MATCH(RAE_SP_PRE[[#This Row],[Tâche]],Taches[[Entrée]],0)),""))</f>
        <v>0</v>
      </c>
      <c r="C29" s="15">
        <f>IF(RAE_SP_PRE[[#This Row],[Tâche]]="","",IFERROR(INDEX(Taches[[État]],MATCH(RAE_SP_PRE[[#This Row],[Tâche]],Taches[[Entrée]],0)),""))</f>
        <v>0</v>
      </c>
      <c r="D29" s="14"/>
      <c r="E29" s="14"/>
      <c r="F29" s="16"/>
      <c r="G29" s="16"/>
      <c r="H29" s="8"/>
      <c r="I29" s="6"/>
      <c r="J29" s="15">
        <f>IF(RAE_SP_PRE[[#This Row],[Rôle ou catégorie]]="","",IFERROR(INDEX(Referentiel[[Nature]],MATCH(RAE_SP_PRE[[#This Row],[Rôle ou catégorie]],Referentiel[[Entrée]],0)),"?"))</f>
        <v>0</v>
      </c>
      <c r="K29" s="15">
        <f>IF(RAE_SP_PRE[[#This Row],[Rôle ou catégorie]]="","",IFERROR(INDEX(Referentiel[[Code comptable]],MATCH(RAE_SP_PRE[[#This Row],[Rôle ou catégorie]],Referentiel[[Entrée]],0)),"?"))</f>
        <v>0</v>
      </c>
      <c r="L29" s="15">
        <f>IF(RAE_SP_PRE[[#This Row],[Rôle ou catégorie]]="","",IFERROR(INDEX(Referentiel[[Service]],MATCH(RAE_SP_PRE[[#This Row],[Rôle ou catégorie]],Referentiel[[Entrée]],0)),"?")&amp;"")</f>
        <v>0</v>
      </c>
      <c r="M29" s="15">
        <f>IF(RAE_SP_PRE[[#This Row],[Rôle ou catégorie]]="","",IFERROR(INDEX(Referentiel[[Taux horaire]],MATCH(RAE_SP_PRE[[#This Row],[Rôle ou catégorie]],Referentiel[[Entrée]],0)),"?"))</f>
        <v>0</v>
      </c>
      <c r="N29" s="16">
        <f>IF(RAE_SP_PRE[[#This Row],[Rôle ou catégorie]]="","",IF(RAE_SP_PRE[[#This Row],[Type]]="Main-d’œuvre",N(RAE_SP_PRE[[#This Row],[Jours restants]])*HeuresParJour*RAE_SP_PRE[[#This Row],[Taux horaire]]*RAE_SP_PRE[[#This Row],[Coefficient]],0))</f>
        <v>0</v>
      </c>
      <c r="O29" s="16">
        <f>IF(RAE_SP_PRE[[#This Row],[Rôle ou catégorie]]="","",IF(RAE_SP_PRE[[#This Row],[Type]]="Hors main-d’œuvre",N(RAE_SP_PRE[[#This Row],[Débours restant]]),0))</f>
        <v>0</v>
      </c>
      <c r="P29" s="16">
        <f>IF(RAE_SP_PRE[[#This Row],[Rôle ou catégorie]]="","",RAE_SP_PRE[[#This Row],[Main-d’œuvre]]+RAE_SP_PRE[[#This Row],[Débours]])</f>
        <v>0</v>
      </c>
      <c r="Q29" s="15">
        <f>IF(RAE_SP_PRE[[#This Row],[Rôle ou catégorie]]="","",IFERROR(INDEX(Referentiel[[Type de nature]],MATCH(RAE_SP_PRE[[#This Row],[Rôle ou catégorie]],Referentiel[[Entrée]],0)),"?"))</f>
        <v>0</v>
      </c>
      <c r="R29" s="15">
        <f>IFERROR(INDEX(Taches[[Coefficient]],MATCH(RAE_SP_PRE[[#This Row],[Tâche]],Taches[[Entrée]],0)),1)</f>
        <v>0</v>
      </c>
      <c r="S29" s="15"/>
    </row>
    <row r="30" spans="1:19">
      <c r="A30" s="14"/>
      <c r="B30" s="15">
        <f>IF(RAE_SP_PRE[[#This Row],[Tâche]]="","",IFERROR(INDEX(Taches[[Description]],MATCH(RAE_SP_PRE[[#This Row],[Tâche]],Taches[[Entrée]],0)),""))</f>
        <v>0</v>
      </c>
      <c r="C30" s="15">
        <f>IF(RAE_SP_PRE[[#This Row],[Tâche]]="","",IFERROR(INDEX(Taches[[État]],MATCH(RAE_SP_PRE[[#This Row],[Tâche]],Taches[[Entrée]],0)),""))</f>
        <v>0</v>
      </c>
      <c r="D30" s="14"/>
      <c r="E30" s="14"/>
      <c r="F30" s="16"/>
      <c r="G30" s="16"/>
      <c r="H30" s="8"/>
      <c r="I30" s="6"/>
      <c r="J30" s="15">
        <f>IF(RAE_SP_PRE[[#This Row],[Rôle ou catégorie]]="","",IFERROR(INDEX(Referentiel[[Nature]],MATCH(RAE_SP_PRE[[#This Row],[Rôle ou catégorie]],Referentiel[[Entrée]],0)),"?"))</f>
        <v>0</v>
      </c>
      <c r="K30" s="15">
        <f>IF(RAE_SP_PRE[[#This Row],[Rôle ou catégorie]]="","",IFERROR(INDEX(Referentiel[[Code comptable]],MATCH(RAE_SP_PRE[[#This Row],[Rôle ou catégorie]],Referentiel[[Entrée]],0)),"?"))</f>
        <v>0</v>
      </c>
      <c r="L30" s="15">
        <f>IF(RAE_SP_PRE[[#This Row],[Rôle ou catégorie]]="","",IFERROR(INDEX(Referentiel[[Service]],MATCH(RAE_SP_PRE[[#This Row],[Rôle ou catégorie]],Referentiel[[Entrée]],0)),"?")&amp;"")</f>
        <v>0</v>
      </c>
      <c r="M30" s="15">
        <f>IF(RAE_SP_PRE[[#This Row],[Rôle ou catégorie]]="","",IFERROR(INDEX(Referentiel[[Taux horaire]],MATCH(RAE_SP_PRE[[#This Row],[Rôle ou catégorie]],Referentiel[[Entrée]],0)),"?"))</f>
        <v>0</v>
      </c>
      <c r="N30" s="16">
        <f>IF(RAE_SP_PRE[[#This Row],[Rôle ou catégorie]]="","",IF(RAE_SP_PRE[[#This Row],[Type]]="Main-d’œuvre",N(RAE_SP_PRE[[#This Row],[Jours restants]])*HeuresParJour*RAE_SP_PRE[[#This Row],[Taux horaire]]*RAE_SP_PRE[[#This Row],[Coefficient]],0))</f>
        <v>0</v>
      </c>
      <c r="O30" s="16">
        <f>IF(RAE_SP_PRE[[#This Row],[Rôle ou catégorie]]="","",IF(RAE_SP_PRE[[#This Row],[Type]]="Hors main-d’œuvre",N(RAE_SP_PRE[[#This Row],[Débours restant]]),0))</f>
        <v>0</v>
      </c>
      <c r="P30" s="16">
        <f>IF(RAE_SP_PRE[[#This Row],[Rôle ou catégorie]]="","",RAE_SP_PRE[[#This Row],[Main-d’œuvre]]+RAE_SP_PRE[[#This Row],[Débours]])</f>
        <v>0</v>
      </c>
      <c r="Q30" s="15">
        <f>IF(RAE_SP_PRE[[#This Row],[Rôle ou catégorie]]="","",IFERROR(INDEX(Referentiel[[Type de nature]],MATCH(RAE_SP_PRE[[#This Row],[Rôle ou catégorie]],Referentiel[[Entrée]],0)),"?"))</f>
        <v>0</v>
      </c>
      <c r="R30" s="15">
        <f>IFERROR(INDEX(Taches[[Coefficient]],MATCH(RAE_SP_PRE[[#This Row],[Tâche]],Taches[[Entrée]],0)),1)</f>
        <v>0</v>
      </c>
      <c r="S30" s="15"/>
    </row>
    <row r="31" spans="1:19">
      <c r="A31" s="14"/>
      <c r="B31" s="15">
        <f>IF(RAE_SP_PRE[[#This Row],[Tâche]]="","",IFERROR(INDEX(Taches[[Description]],MATCH(RAE_SP_PRE[[#This Row],[Tâche]],Taches[[Entrée]],0)),""))</f>
        <v>0</v>
      </c>
      <c r="C31" s="15">
        <f>IF(RAE_SP_PRE[[#This Row],[Tâche]]="","",IFERROR(INDEX(Taches[[État]],MATCH(RAE_SP_PRE[[#This Row],[Tâche]],Taches[[Entrée]],0)),""))</f>
        <v>0</v>
      </c>
      <c r="D31" s="14"/>
      <c r="E31" s="14"/>
      <c r="F31" s="16"/>
      <c r="G31" s="16"/>
      <c r="H31" s="8"/>
      <c r="I31" s="6"/>
      <c r="J31" s="15">
        <f>IF(RAE_SP_PRE[[#This Row],[Rôle ou catégorie]]="","",IFERROR(INDEX(Referentiel[[Nature]],MATCH(RAE_SP_PRE[[#This Row],[Rôle ou catégorie]],Referentiel[[Entrée]],0)),"?"))</f>
        <v>0</v>
      </c>
      <c r="K31" s="15">
        <f>IF(RAE_SP_PRE[[#This Row],[Rôle ou catégorie]]="","",IFERROR(INDEX(Referentiel[[Code comptable]],MATCH(RAE_SP_PRE[[#This Row],[Rôle ou catégorie]],Referentiel[[Entrée]],0)),"?"))</f>
        <v>0</v>
      </c>
      <c r="L31" s="15">
        <f>IF(RAE_SP_PRE[[#This Row],[Rôle ou catégorie]]="","",IFERROR(INDEX(Referentiel[[Service]],MATCH(RAE_SP_PRE[[#This Row],[Rôle ou catégorie]],Referentiel[[Entrée]],0)),"?")&amp;"")</f>
        <v>0</v>
      </c>
      <c r="M31" s="15">
        <f>IF(RAE_SP_PRE[[#This Row],[Rôle ou catégorie]]="","",IFERROR(INDEX(Referentiel[[Taux horaire]],MATCH(RAE_SP_PRE[[#This Row],[Rôle ou catégorie]],Referentiel[[Entrée]],0)),"?"))</f>
        <v>0</v>
      </c>
      <c r="N31" s="16">
        <f>IF(RAE_SP_PRE[[#This Row],[Rôle ou catégorie]]="","",IF(RAE_SP_PRE[[#This Row],[Type]]="Main-d’œuvre",N(RAE_SP_PRE[[#This Row],[Jours restants]])*HeuresParJour*RAE_SP_PRE[[#This Row],[Taux horaire]]*RAE_SP_PRE[[#This Row],[Coefficient]],0))</f>
        <v>0</v>
      </c>
      <c r="O31" s="16">
        <f>IF(RAE_SP_PRE[[#This Row],[Rôle ou catégorie]]="","",IF(RAE_SP_PRE[[#This Row],[Type]]="Hors main-d’œuvre",N(RAE_SP_PRE[[#This Row],[Débours restant]]),0))</f>
        <v>0</v>
      </c>
      <c r="P31" s="16">
        <f>IF(RAE_SP_PRE[[#This Row],[Rôle ou catégorie]]="","",RAE_SP_PRE[[#This Row],[Main-d’œuvre]]+RAE_SP_PRE[[#This Row],[Débours]])</f>
        <v>0</v>
      </c>
      <c r="Q31" s="15">
        <f>IF(RAE_SP_PRE[[#This Row],[Rôle ou catégorie]]="","",IFERROR(INDEX(Referentiel[[Type de nature]],MATCH(RAE_SP_PRE[[#This Row],[Rôle ou catégorie]],Referentiel[[Entrée]],0)),"?"))</f>
        <v>0</v>
      </c>
      <c r="R31" s="15">
        <f>IFERROR(INDEX(Taches[[Coefficient]],MATCH(RAE_SP_PRE[[#This Row],[Tâche]],Taches[[Entrée]],0)),1)</f>
        <v>0</v>
      </c>
      <c r="S31" s="15"/>
    </row>
    <row r="32" spans="1:19">
      <c r="A32" s="14"/>
      <c r="B32" s="15">
        <f>IF(RAE_SP_PRE[[#This Row],[Tâche]]="","",IFERROR(INDEX(Taches[[Description]],MATCH(RAE_SP_PRE[[#This Row],[Tâche]],Taches[[Entrée]],0)),""))</f>
        <v>0</v>
      </c>
      <c r="C32" s="15">
        <f>IF(RAE_SP_PRE[[#This Row],[Tâche]]="","",IFERROR(INDEX(Taches[[État]],MATCH(RAE_SP_PRE[[#This Row],[Tâche]],Taches[[Entrée]],0)),""))</f>
        <v>0</v>
      </c>
      <c r="D32" s="14"/>
      <c r="E32" s="14"/>
      <c r="F32" s="16"/>
      <c r="G32" s="16"/>
      <c r="H32" s="8"/>
      <c r="I32" s="6"/>
      <c r="J32" s="15">
        <f>IF(RAE_SP_PRE[[#This Row],[Rôle ou catégorie]]="","",IFERROR(INDEX(Referentiel[[Nature]],MATCH(RAE_SP_PRE[[#This Row],[Rôle ou catégorie]],Referentiel[[Entrée]],0)),"?"))</f>
        <v>0</v>
      </c>
      <c r="K32" s="15">
        <f>IF(RAE_SP_PRE[[#This Row],[Rôle ou catégorie]]="","",IFERROR(INDEX(Referentiel[[Code comptable]],MATCH(RAE_SP_PRE[[#This Row],[Rôle ou catégorie]],Referentiel[[Entrée]],0)),"?"))</f>
        <v>0</v>
      </c>
      <c r="L32" s="15">
        <f>IF(RAE_SP_PRE[[#This Row],[Rôle ou catégorie]]="","",IFERROR(INDEX(Referentiel[[Service]],MATCH(RAE_SP_PRE[[#This Row],[Rôle ou catégorie]],Referentiel[[Entrée]],0)),"?")&amp;"")</f>
        <v>0</v>
      </c>
      <c r="M32" s="15">
        <f>IF(RAE_SP_PRE[[#This Row],[Rôle ou catégorie]]="","",IFERROR(INDEX(Referentiel[[Taux horaire]],MATCH(RAE_SP_PRE[[#This Row],[Rôle ou catégorie]],Referentiel[[Entrée]],0)),"?"))</f>
        <v>0</v>
      </c>
      <c r="N32" s="16">
        <f>IF(RAE_SP_PRE[[#This Row],[Rôle ou catégorie]]="","",IF(RAE_SP_PRE[[#This Row],[Type]]="Main-d’œuvre",N(RAE_SP_PRE[[#This Row],[Jours restants]])*HeuresParJour*RAE_SP_PRE[[#This Row],[Taux horaire]]*RAE_SP_PRE[[#This Row],[Coefficient]],0))</f>
        <v>0</v>
      </c>
      <c r="O32" s="16">
        <f>IF(RAE_SP_PRE[[#This Row],[Rôle ou catégorie]]="","",IF(RAE_SP_PRE[[#This Row],[Type]]="Hors main-d’œuvre",N(RAE_SP_PRE[[#This Row],[Débours restant]]),0))</f>
        <v>0</v>
      </c>
      <c r="P32" s="16">
        <f>IF(RAE_SP_PRE[[#This Row],[Rôle ou catégorie]]="","",RAE_SP_PRE[[#This Row],[Main-d’œuvre]]+RAE_SP_PRE[[#This Row],[Débours]])</f>
        <v>0</v>
      </c>
      <c r="Q32" s="15">
        <f>IF(RAE_SP_PRE[[#This Row],[Rôle ou catégorie]]="","",IFERROR(INDEX(Referentiel[[Type de nature]],MATCH(RAE_SP_PRE[[#This Row],[Rôle ou catégorie]],Referentiel[[Entrée]],0)),"?"))</f>
        <v>0</v>
      </c>
      <c r="R32" s="15">
        <f>IFERROR(INDEX(Taches[[Coefficient]],MATCH(RAE_SP_PRE[[#This Row],[Tâche]],Taches[[Entrée]],0)),1)</f>
        <v>0</v>
      </c>
      <c r="S32" s="15"/>
    </row>
    <row r="33" spans="1:16">
      <c r="A33" s="14" t="s">
        <v>90</v>
      </c>
      <c r="F33" s="16">
        <f>SUBTOTAL(109,RAE_SP_PRE[[Budget]])</f>
        <v>0</v>
      </c>
      <c r="G33" s="16">
        <f>SUBTOTAL(109,RAE_SP_PRE[[Reste précédent]])</f>
        <v>0</v>
      </c>
      <c r="H33" s="8">
        <f>SUBTOTAL(109,RAE_SP_PRE[[Jours restants]])</f>
        <v>0</v>
      </c>
      <c r="I33" s="6">
        <f>SUBTOTAL(109,RAE_SP_PRE[[Débours restant]])</f>
        <v>0</v>
      </c>
      <c r="N33" s="16">
        <f>SUBTOTAL(109,RAE_SP_PRE[[Main-d’œuvre]])</f>
        <v>0</v>
      </c>
      <c r="O33" s="16">
        <f>SUBTOTAL(109,RAE_SP_PRE[[Débours]])</f>
        <v>0</v>
      </c>
      <c r="P33" s="16">
        <f>SUBTOTAL(109,RAE_SP_PRE[[Reste à engager]])</f>
        <v>0</v>
      </c>
    </row>
    <row r="35" spans="1:16">
      <c r="A35" s="12" t="s">
        <v>110</v>
      </c>
    </row>
    <row r="36" spans="1:16">
      <c r="A36" s="13" t="s">
        <v>111</v>
      </c>
    </row>
  </sheetData>
  <mergeCells count="1">
    <mergeCell ref="H14:I14"/>
  </mergeCells>
  <dataValidations count="4">
    <dataValidation type="list" allowBlank="1" showInputMessage="1" showErrorMessage="1" error="Choisis une tâche non terminée du sous-projet (onglet Tâches)." sqref="A16:A415">
      <formula1>'Tâches'!$A$5:$A$8</formula1>
    </dataValidation>
    <dataValidation type="list" allowBlank="1" showInputMessage="1" showErrorMessage="1" error="Choisis un rôle ou une catégorie du référentiel (onglet Paramètres)." sqref="D16:D415">
      <formula1>'Paramètres'!$A$5:$A$13</formula1>
    </dataValidation>
    <dataValidation type="decimal" operator="greaterThanOrEqual" allowBlank="1" showInputMessage="1" showErrorMessage="1" error="Un reste à engager est un nombre positif ou nul." sqref="H16:H415">
      <formula1>0</formula1>
    </dataValidation>
    <dataValidation type="decimal" operator="greaterThanOrEqual" allowBlank="1" showInputMessage="1" showErrorMessage="1" error="Un reste à engager est un nombre positif ou nul." sqref="I16:I415">
      <formula1>0</formula1>
    </dataValidation>
  </dataValidations>
  <pageMargins left="0.7" right="0.7" top="0.75" bottom="0.75" header="0.3" footer="0.3"/>
  <pageSetup fitToHeight="0" orientation="landscape"/>
  <headerFooter>
    <oddFooter>&amp;L&amp;8© 2027 Exemple Industrie — Généré par Waterfall le 2027-02-15 — logiciel libre sous licence AGPL-3.0 — www.waterfall-project.pro&amp;R&amp;8Page &amp;P /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31"/>
  <sheetViews>
    <sheetView workbookViewId="0">
      <pane xSplit="1" ySplit="15" topLeftCell="B16" activePane="bottomRight" state="frozen"/>
      <selection pane="topRight" activeCell="B1" sqref="B1"/>
      <selection pane="bottomLeft" activeCell="A16" sqref="A16"/>
      <selection pane="bottomRight"/>
    </sheetView>
  </sheetViews>
  <sheetFormatPr defaultRowHeight="15" outlineLevelCol="1"/>
  <cols>
    <col min="1" max="1" width="34.7109375" customWidth="1"/>
    <col min="2" max="2" width="40.7109375" customWidth="1"/>
    <col min="3" max="3" width="13.7109375" customWidth="1"/>
    <col min="4" max="4" width="32.7109375" customWidth="1"/>
    <col min="5" max="5" width="34.7109375" customWidth="1"/>
    <col min="6" max="9" width="13.7109375" customWidth="1"/>
    <col min="10" max="10" width="16.7109375" customWidth="1"/>
    <col min="11" max="11" width="13.7109375" customWidth="1"/>
    <col min="12" max="12" width="22.7109375" customWidth="1"/>
    <col min="13" max="16" width="13.7109375" customWidth="1"/>
    <col min="17" max="19" width="10.7109375" hidden="1" customWidth="1" outlineLevel="1"/>
  </cols>
  <sheetData>
    <row r="1" spans="1:19">
      <c r="A1" s="2" t="s">
        <v>112</v>
      </c>
    </row>
    <row r="2" spans="1:19">
      <c r="A2" s="12" t="s">
        <v>80</v>
      </c>
    </row>
    <row r="4" spans="1:19">
      <c r="A4" t="s">
        <v>81</v>
      </c>
      <c r="B4" s="6">
        <v>7444</v>
      </c>
    </row>
    <row r="5" spans="1:19">
      <c r="A5" t="s">
        <v>82</v>
      </c>
      <c r="B5" s="6">
        <v>3800</v>
      </c>
    </row>
    <row r="6" spans="1:19">
      <c r="A6" t="s">
        <v>83</v>
      </c>
      <c r="B6" s="6">
        <f>SUBTOTAL(109,RAE_SP_MAT[[Reste à engager]])</f>
        <v>0</v>
      </c>
    </row>
    <row r="7" spans="1:19">
      <c r="A7" t="s">
        <v>84</v>
      </c>
      <c r="B7" s="6">
        <v>0</v>
      </c>
    </row>
    <row r="9" spans="1:19">
      <c r="A9" s="3" t="s">
        <v>85</v>
      </c>
      <c r="B9" s="9">
        <f>$B$6+$B$7</f>
        <v>0</v>
      </c>
    </row>
    <row r="10" spans="1:19">
      <c r="A10" s="3" t="s">
        <v>86</v>
      </c>
      <c r="B10" s="9">
        <f>$B$5+$B$9</f>
        <v>0</v>
      </c>
    </row>
    <row r="11" spans="1:19">
      <c r="A11" s="3" t="s">
        <v>87</v>
      </c>
      <c r="B11" s="9">
        <f>$B$10-$B$4</f>
        <v>0</v>
      </c>
    </row>
    <row r="12" spans="1:19">
      <c r="A12" s="3" t="s">
        <v>88</v>
      </c>
      <c r="B12" s="7">
        <f>IF($B$10=0,"non calculable",$B$5/$B$10)</f>
        <v>0</v>
      </c>
    </row>
    <row r="14" spans="1:19">
      <c r="H14" s="4" t="s">
        <v>89</v>
      </c>
      <c r="I14" s="4"/>
    </row>
    <row r="15" spans="1:19" s="5" customFormat="1" ht="30" customHeight="1">
      <c r="A15" s="5" t="s">
        <v>91</v>
      </c>
      <c r="B15" s="5" t="s">
        <v>92</v>
      </c>
      <c r="C15" s="5" t="s">
        <v>53</v>
      </c>
      <c r="D15" s="5" t="s">
        <v>93</v>
      </c>
      <c r="E15" s="5" t="s">
        <v>94</v>
      </c>
      <c r="F15" s="5" t="s">
        <v>95</v>
      </c>
      <c r="G15" s="5" t="s">
        <v>96</v>
      </c>
      <c r="H15" s="5" t="s">
        <v>97</v>
      </c>
      <c r="I15" s="5" t="s">
        <v>98</v>
      </c>
      <c r="J15" s="5" t="s">
        <v>7</v>
      </c>
      <c r="K15" s="5" t="s">
        <v>9</v>
      </c>
      <c r="L15" s="5" t="s">
        <v>6</v>
      </c>
      <c r="M15" s="5" t="s">
        <v>10</v>
      </c>
      <c r="N15" s="5" t="s">
        <v>16</v>
      </c>
      <c r="O15" s="5" t="s">
        <v>99</v>
      </c>
      <c r="P15" s="5" t="s">
        <v>85</v>
      </c>
      <c r="Q15" s="5" t="s">
        <v>100</v>
      </c>
      <c r="R15" s="5" t="s">
        <v>54</v>
      </c>
      <c r="S15" s="5" t="s">
        <v>101</v>
      </c>
    </row>
    <row r="16" spans="1:19">
      <c r="A16" s="14" t="s">
        <v>71</v>
      </c>
      <c r="B16" s="15">
        <f>IF(RAE_SP_MAT[[#This Row],[Tâche]]="","",IFERROR(INDEX(Taches[[Description]],MATCH(RAE_SP_MAT[[#This Row],[Tâche]],Taches[[Entrée]],0)),""))</f>
        <v>0</v>
      </c>
      <c r="C16" s="15">
        <f>IF(RAE_SP_MAT[[#This Row],[Tâche]]="","",IFERROR(INDEX(Taches[[État]],MATCH(RAE_SP_MAT[[#This Row],[Tâche]],Taches[[Entrée]],0)),""))</f>
        <v>0</v>
      </c>
      <c r="D16" s="14" t="s">
        <v>43</v>
      </c>
      <c r="E16" s="14" t="s">
        <v>113</v>
      </c>
      <c r="F16" s="16">
        <v>3672</v>
      </c>
      <c r="G16" s="16">
        <v>3600</v>
      </c>
      <c r="H16" s="8"/>
      <c r="I16" s="6">
        <v>2400</v>
      </c>
      <c r="J16" s="15">
        <f>IF(RAE_SP_MAT[[#This Row],[Rôle ou catégorie]]="","",IFERROR(INDEX(Referentiel[[Nature]],MATCH(RAE_SP_MAT[[#This Row],[Rôle ou catégorie]],Referentiel[[Entrée]],0)),"?"))</f>
        <v>0</v>
      </c>
      <c r="K16" s="15">
        <f>IF(RAE_SP_MAT[[#This Row],[Rôle ou catégorie]]="","",IFERROR(INDEX(Referentiel[[Code comptable]],MATCH(RAE_SP_MAT[[#This Row],[Rôle ou catégorie]],Referentiel[[Entrée]],0)),"?"))</f>
        <v>0</v>
      </c>
      <c r="L16" s="15">
        <f>IF(RAE_SP_MAT[[#This Row],[Rôle ou catégorie]]="","",IFERROR(INDEX(Referentiel[[Service]],MATCH(RAE_SP_MAT[[#This Row],[Rôle ou catégorie]],Referentiel[[Entrée]],0)),"?")&amp;"")</f>
        <v>0</v>
      </c>
      <c r="M16" s="15">
        <f>IF(RAE_SP_MAT[[#This Row],[Rôle ou catégorie]]="","",IFERROR(INDEX(Referentiel[[Taux horaire]],MATCH(RAE_SP_MAT[[#This Row],[Rôle ou catégorie]],Referentiel[[Entrée]],0)),"?"))</f>
        <v>0</v>
      </c>
      <c r="N16" s="16">
        <f>IF(RAE_SP_MAT[[#This Row],[Rôle ou catégorie]]="","",IF(RAE_SP_MAT[[#This Row],[Type]]="Main-d’œuvre",N(RAE_SP_MAT[[#This Row],[Jours restants]])*HeuresParJour*RAE_SP_MAT[[#This Row],[Taux horaire]]*RAE_SP_MAT[[#This Row],[Coefficient]],0))</f>
        <v>0</v>
      </c>
      <c r="O16" s="16">
        <f>IF(RAE_SP_MAT[[#This Row],[Rôle ou catégorie]]="","",IF(RAE_SP_MAT[[#This Row],[Type]]="Hors main-d’œuvre",N(RAE_SP_MAT[[#This Row],[Débours restant]]),0))</f>
        <v>0</v>
      </c>
      <c r="P16" s="16">
        <f>IF(RAE_SP_MAT[[#This Row],[Rôle ou catégorie]]="","",RAE_SP_MAT[[#This Row],[Main-d’œuvre]]+RAE_SP_MAT[[#This Row],[Débours]])</f>
        <v>0</v>
      </c>
      <c r="Q16" s="15">
        <f>IF(RAE_SP_MAT[[#This Row],[Rôle ou catégorie]]="","",IFERROR(INDEX(Referentiel[[Type de nature]],MATCH(RAE_SP_MAT[[#This Row],[Rôle ou catégorie]],Referentiel[[Entrée]],0)),"?"))</f>
        <v>0</v>
      </c>
      <c r="R16" s="15">
        <f>IFERROR(INDEX(Taches[[Coefficient]],MATCH(RAE_SP_MAT[[#This Row],[Tâche]],Taches[[Entrée]],0)),1)</f>
        <v>0</v>
      </c>
      <c r="S16" s="15" t="s">
        <v>114</v>
      </c>
    </row>
    <row r="17" spans="1:19">
      <c r="A17" s="14" t="s">
        <v>71</v>
      </c>
      <c r="B17" s="15">
        <f>IF(RAE_SP_MAT[[#This Row],[Tâche]]="","",IFERROR(INDEX(Taches[[Description]],MATCH(RAE_SP_MAT[[#This Row],[Tâche]],Taches[[Entrée]],0)),""))</f>
        <v>0</v>
      </c>
      <c r="C17" s="15">
        <f>IF(RAE_SP_MAT[[#This Row],[Tâche]]="","",IFERROR(INDEX(Taches[[État]],MATCH(RAE_SP_MAT[[#This Row],[Tâche]],Taches[[Entrée]],0)),""))</f>
        <v>0</v>
      </c>
      <c r="D17" s="14" t="s">
        <v>43</v>
      </c>
      <c r="E17" s="14" t="s">
        <v>115</v>
      </c>
      <c r="F17" s="16">
        <v>3672</v>
      </c>
      <c r="G17" s="16">
        <v>1600</v>
      </c>
      <c r="H17" s="8"/>
      <c r="I17" s="6">
        <v>1200</v>
      </c>
      <c r="J17" s="15">
        <f>IF(RAE_SP_MAT[[#This Row],[Rôle ou catégorie]]="","",IFERROR(INDEX(Referentiel[[Nature]],MATCH(RAE_SP_MAT[[#This Row],[Rôle ou catégorie]],Referentiel[[Entrée]],0)),"?"))</f>
        <v>0</v>
      </c>
      <c r="K17" s="15">
        <f>IF(RAE_SP_MAT[[#This Row],[Rôle ou catégorie]]="","",IFERROR(INDEX(Referentiel[[Code comptable]],MATCH(RAE_SP_MAT[[#This Row],[Rôle ou catégorie]],Referentiel[[Entrée]],0)),"?"))</f>
        <v>0</v>
      </c>
      <c r="L17" s="15">
        <f>IF(RAE_SP_MAT[[#This Row],[Rôle ou catégorie]]="","",IFERROR(INDEX(Referentiel[[Service]],MATCH(RAE_SP_MAT[[#This Row],[Rôle ou catégorie]],Referentiel[[Entrée]],0)),"?")&amp;"")</f>
        <v>0</v>
      </c>
      <c r="M17" s="15">
        <f>IF(RAE_SP_MAT[[#This Row],[Rôle ou catégorie]]="","",IFERROR(INDEX(Referentiel[[Taux horaire]],MATCH(RAE_SP_MAT[[#This Row],[Rôle ou catégorie]],Referentiel[[Entrée]],0)),"?"))</f>
        <v>0</v>
      </c>
      <c r="N17" s="16">
        <f>IF(RAE_SP_MAT[[#This Row],[Rôle ou catégorie]]="","",IF(RAE_SP_MAT[[#This Row],[Type]]="Main-d’œuvre",N(RAE_SP_MAT[[#This Row],[Jours restants]])*HeuresParJour*RAE_SP_MAT[[#This Row],[Taux horaire]]*RAE_SP_MAT[[#This Row],[Coefficient]],0))</f>
        <v>0</v>
      </c>
      <c r="O17" s="16">
        <f>IF(RAE_SP_MAT[[#This Row],[Rôle ou catégorie]]="","",IF(RAE_SP_MAT[[#This Row],[Type]]="Hors main-d’œuvre",N(RAE_SP_MAT[[#This Row],[Débours restant]]),0))</f>
        <v>0</v>
      </c>
      <c r="P17" s="16">
        <f>IF(RAE_SP_MAT[[#This Row],[Rôle ou catégorie]]="","",RAE_SP_MAT[[#This Row],[Main-d’œuvre]]+RAE_SP_MAT[[#This Row],[Débours]])</f>
        <v>0</v>
      </c>
      <c r="Q17" s="15">
        <f>IF(RAE_SP_MAT[[#This Row],[Rôle ou catégorie]]="","",IFERROR(INDEX(Referentiel[[Type de nature]],MATCH(RAE_SP_MAT[[#This Row],[Rôle ou catégorie]],Referentiel[[Entrée]],0)),"?"))</f>
        <v>0</v>
      </c>
      <c r="R17" s="15">
        <f>IFERROR(INDEX(Taches[[Coefficient]],MATCH(RAE_SP_MAT[[#This Row],[Tâche]],Taches[[Entrée]],0)),1)</f>
        <v>0</v>
      </c>
      <c r="S17" s="15" t="s">
        <v>116</v>
      </c>
    </row>
    <row r="18" spans="1:19">
      <c r="A18" s="14"/>
      <c r="B18" s="15">
        <f>IF(RAE_SP_MAT[[#This Row],[Tâche]]="","",IFERROR(INDEX(Taches[[Description]],MATCH(RAE_SP_MAT[[#This Row],[Tâche]],Taches[[Entrée]],0)),""))</f>
        <v>0</v>
      </c>
      <c r="C18" s="15">
        <f>IF(RAE_SP_MAT[[#This Row],[Tâche]]="","",IFERROR(INDEX(Taches[[État]],MATCH(RAE_SP_MAT[[#This Row],[Tâche]],Taches[[Entrée]],0)),""))</f>
        <v>0</v>
      </c>
      <c r="D18" s="14"/>
      <c r="E18" s="14"/>
      <c r="F18" s="16"/>
      <c r="G18" s="16"/>
      <c r="H18" s="8"/>
      <c r="I18" s="6"/>
      <c r="J18" s="15">
        <f>IF(RAE_SP_MAT[[#This Row],[Rôle ou catégorie]]="","",IFERROR(INDEX(Referentiel[[Nature]],MATCH(RAE_SP_MAT[[#This Row],[Rôle ou catégorie]],Referentiel[[Entrée]],0)),"?"))</f>
        <v>0</v>
      </c>
      <c r="K18" s="15">
        <f>IF(RAE_SP_MAT[[#This Row],[Rôle ou catégorie]]="","",IFERROR(INDEX(Referentiel[[Code comptable]],MATCH(RAE_SP_MAT[[#This Row],[Rôle ou catégorie]],Referentiel[[Entrée]],0)),"?"))</f>
        <v>0</v>
      </c>
      <c r="L18" s="15">
        <f>IF(RAE_SP_MAT[[#This Row],[Rôle ou catégorie]]="","",IFERROR(INDEX(Referentiel[[Service]],MATCH(RAE_SP_MAT[[#This Row],[Rôle ou catégorie]],Referentiel[[Entrée]],0)),"?")&amp;"")</f>
        <v>0</v>
      </c>
      <c r="M18" s="15">
        <f>IF(RAE_SP_MAT[[#This Row],[Rôle ou catégorie]]="","",IFERROR(INDEX(Referentiel[[Taux horaire]],MATCH(RAE_SP_MAT[[#This Row],[Rôle ou catégorie]],Referentiel[[Entrée]],0)),"?"))</f>
        <v>0</v>
      </c>
      <c r="N18" s="16">
        <f>IF(RAE_SP_MAT[[#This Row],[Rôle ou catégorie]]="","",IF(RAE_SP_MAT[[#This Row],[Type]]="Main-d’œuvre",N(RAE_SP_MAT[[#This Row],[Jours restants]])*HeuresParJour*RAE_SP_MAT[[#This Row],[Taux horaire]]*RAE_SP_MAT[[#This Row],[Coefficient]],0))</f>
        <v>0</v>
      </c>
      <c r="O18" s="16">
        <f>IF(RAE_SP_MAT[[#This Row],[Rôle ou catégorie]]="","",IF(RAE_SP_MAT[[#This Row],[Type]]="Hors main-d’œuvre",N(RAE_SP_MAT[[#This Row],[Débours restant]]),0))</f>
        <v>0</v>
      </c>
      <c r="P18" s="16">
        <f>IF(RAE_SP_MAT[[#This Row],[Rôle ou catégorie]]="","",RAE_SP_MAT[[#This Row],[Main-d’œuvre]]+RAE_SP_MAT[[#This Row],[Débours]])</f>
        <v>0</v>
      </c>
      <c r="Q18" s="15">
        <f>IF(RAE_SP_MAT[[#This Row],[Rôle ou catégorie]]="","",IFERROR(INDEX(Referentiel[[Type de nature]],MATCH(RAE_SP_MAT[[#This Row],[Rôle ou catégorie]],Referentiel[[Entrée]],0)),"?"))</f>
        <v>0</v>
      </c>
      <c r="R18" s="15">
        <f>IFERROR(INDEX(Taches[[Coefficient]],MATCH(RAE_SP_MAT[[#This Row],[Tâche]],Taches[[Entrée]],0)),1)</f>
        <v>0</v>
      </c>
      <c r="S18" s="15"/>
    </row>
    <row r="19" spans="1:19">
      <c r="A19" s="14"/>
      <c r="B19" s="15">
        <f>IF(RAE_SP_MAT[[#This Row],[Tâche]]="","",IFERROR(INDEX(Taches[[Description]],MATCH(RAE_SP_MAT[[#This Row],[Tâche]],Taches[[Entrée]],0)),""))</f>
        <v>0</v>
      </c>
      <c r="C19" s="15">
        <f>IF(RAE_SP_MAT[[#This Row],[Tâche]]="","",IFERROR(INDEX(Taches[[État]],MATCH(RAE_SP_MAT[[#This Row],[Tâche]],Taches[[Entrée]],0)),""))</f>
        <v>0</v>
      </c>
      <c r="D19" s="14"/>
      <c r="E19" s="14"/>
      <c r="F19" s="16"/>
      <c r="G19" s="16"/>
      <c r="H19" s="8"/>
      <c r="I19" s="6"/>
      <c r="J19" s="15">
        <f>IF(RAE_SP_MAT[[#This Row],[Rôle ou catégorie]]="","",IFERROR(INDEX(Referentiel[[Nature]],MATCH(RAE_SP_MAT[[#This Row],[Rôle ou catégorie]],Referentiel[[Entrée]],0)),"?"))</f>
        <v>0</v>
      </c>
      <c r="K19" s="15">
        <f>IF(RAE_SP_MAT[[#This Row],[Rôle ou catégorie]]="","",IFERROR(INDEX(Referentiel[[Code comptable]],MATCH(RAE_SP_MAT[[#This Row],[Rôle ou catégorie]],Referentiel[[Entrée]],0)),"?"))</f>
        <v>0</v>
      </c>
      <c r="L19" s="15">
        <f>IF(RAE_SP_MAT[[#This Row],[Rôle ou catégorie]]="","",IFERROR(INDEX(Referentiel[[Service]],MATCH(RAE_SP_MAT[[#This Row],[Rôle ou catégorie]],Referentiel[[Entrée]],0)),"?")&amp;"")</f>
        <v>0</v>
      </c>
      <c r="M19" s="15">
        <f>IF(RAE_SP_MAT[[#This Row],[Rôle ou catégorie]]="","",IFERROR(INDEX(Referentiel[[Taux horaire]],MATCH(RAE_SP_MAT[[#This Row],[Rôle ou catégorie]],Referentiel[[Entrée]],0)),"?"))</f>
        <v>0</v>
      </c>
      <c r="N19" s="16">
        <f>IF(RAE_SP_MAT[[#This Row],[Rôle ou catégorie]]="","",IF(RAE_SP_MAT[[#This Row],[Type]]="Main-d’œuvre",N(RAE_SP_MAT[[#This Row],[Jours restants]])*HeuresParJour*RAE_SP_MAT[[#This Row],[Taux horaire]]*RAE_SP_MAT[[#This Row],[Coefficient]],0))</f>
        <v>0</v>
      </c>
      <c r="O19" s="16">
        <f>IF(RAE_SP_MAT[[#This Row],[Rôle ou catégorie]]="","",IF(RAE_SP_MAT[[#This Row],[Type]]="Hors main-d’œuvre",N(RAE_SP_MAT[[#This Row],[Débours restant]]),0))</f>
        <v>0</v>
      </c>
      <c r="P19" s="16">
        <f>IF(RAE_SP_MAT[[#This Row],[Rôle ou catégorie]]="","",RAE_SP_MAT[[#This Row],[Main-d’œuvre]]+RAE_SP_MAT[[#This Row],[Débours]])</f>
        <v>0</v>
      </c>
      <c r="Q19" s="15">
        <f>IF(RAE_SP_MAT[[#This Row],[Rôle ou catégorie]]="","",IFERROR(INDEX(Referentiel[[Type de nature]],MATCH(RAE_SP_MAT[[#This Row],[Rôle ou catégorie]],Referentiel[[Entrée]],0)),"?"))</f>
        <v>0</v>
      </c>
      <c r="R19" s="15">
        <f>IFERROR(INDEX(Taches[[Coefficient]],MATCH(RAE_SP_MAT[[#This Row],[Tâche]],Taches[[Entrée]],0)),1)</f>
        <v>0</v>
      </c>
      <c r="S19" s="15"/>
    </row>
    <row r="20" spans="1:19">
      <c r="A20" s="14"/>
      <c r="B20" s="15">
        <f>IF(RAE_SP_MAT[[#This Row],[Tâche]]="","",IFERROR(INDEX(Taches[[Description]],MATCH(RAE_SP_MAT[[#This Row],[Tâche]],Taches[[Entrée]],0)),""))</f>
        <v>0</v>
      </c>
      <c r="C20" s="15">
        <f>IF(RAE_SP_MAT[[#This Row],[Tâche]]="","",IFERROR(INDEX(Taches[[État]],MATCH(RAE_SP_MAT[[#This Row],[Tâche]],Taches[[Entrée]],0)),""))</f>
        <v>0</v>
      </c>
      <c r="D20" s="14"/>
      <c r="E20" s="14"/>
      <c r="F20" s="16"/>
      <c r="G20" s="16"/>
      <c r="H20" s="8"/>
      <c r="I20" s="6"/>
      <c r="J20" s="15">
        <f>IF(RAE_SP_MAT[[#This Row],[Rôle ou catégorie]]="","",IFERROR(INDEX(Referentiel[[Nature]],MATCH(RAE_SP_MAT[[#This Row],[Rôle ou catégorie]],Referentiel[[Entrée]],0)),"?"))</f>
        <v>0</v>
      </c>
      <c r="K20" s="15">
        <f>IF(RAE_SP_MAT[[#This Row],[Rôle ou catégorie]]="","",IFERROR(INDEX(Referentiel[[Code comptable]],MATCH(RAE_SP_MAT[[#This Row],[Rôle ou catégorie]],Referentiel[[Entrée]],0)),"?"))</f>
        <v>0</v>
      </c>
      <c r="L20" s="15">
        <f>IF(RAE_SP_MAT[[#This Row],[Rôle ou catégorie]]="","",IFERROR(INDEX(Referentiel[[Service]],MATCH(RAE_SP_MAT[[#This Row],[Rôle ou catégorie]],Referentiel[[Entrée]],0)),"?")&amp;"")</f>
        <v>0</v>
      </c>
      <c r="M20" s="15">
        <f>IF(RAE_SP_MAT[[#This Row],[Rôle ou catégorie]]="","",IFERROR(INDEX(Referentiel[[Taux horaire]],MATCH(RAE_SP_MAT[[#This Row],[Rôle ou catégorie]],Referentiel[[Entrée]],0)),"?"))</f>
        <v>0</v>
      </c>
      <c r="N20" s="16">
        <f>IF(RAE_SP_MAT[[#This Row],[Rôle ou catégorie]]="","",IF(RAE_SP_MAT[[#This Row],[Type]]="Main-d’œuvre",N(RAE_SP_MAT[[#This Row],[Jours restants]])*HeuresParJour*RAE_SP_MAT[[#This Row],[Taux horaire]]*RAE_SP_MAT[[#This Row],[Coefficient]],0))</f>
        <v>0</v>
      </c>
      <c r="O20" s="16">
        <f>IF(RAE_SP_MAT[[#This Row],[Rôle ou catégorie]]="","",IF(RAE_SP_MAT[[#This Row],[Type]]="Hors main-d’œuvre",N(RAE_SP_MAT[[#This Row],[Débours restant]]),0))</f>
        <v>0</v>
      </c>
      <c r="P20" s="16">
        <f>IF(RAE_SP_MAT[[#This Row],[Rôle ou catégorie]]="","",RAE_SP_MAT[[#This Row],[Main-d’œuvre]]+RAE_SP_MAT[[#This Row],[Débours]])</f>
        <v>0</v>
      </c>
      <c r="Q20" s="15">
        <f>IF(RAE_SP_MAT[[#This Row],[Rôle ou catégorie]]="","",IFERROR(INDEX(Referentiel[[Type de nature]],MATCH(RAE_SP_MAT[[#This Row],[Rôle ou catégorie]],Referentiel[[Entrée]],0)),"?"))</f>
        <v>0</v>
      </c>
      <c r="R20" s="15">
        <f>IFERROR(INDEX(Taches[[Coefficient]],MATCH(RAE_SP_MAT[[#This Row],[Tâche]],Taches[[Entrée]],0)),1)</f>
        <v>0</v>
      </c>
      <c r="S20" s="15"/>
    </row>
    <row r="21" spans="1:19">
      <c r="A21" s="14"/>
      <c r="B21" s="15">
        <f>IF(RAE_SP_MAT[[#This Row],[Tâche]]="","",IFERROR(INDEX(Taches[[Description]],MATCH(RAE_SP_MAT[[#This Row],[Tâche]],Taches[[Entrée]],0)),""))</f>
        <v>0</v>
      </c>
      <c r="C21" s="15">
        <f>IF(RAE_SP_MAT[[#This Row],[Tâche]]="","",IFERROR(INDEX(Taches[[État]],MATCH(RAE_SP_MAT[[#This Row],[Tâche]],Taches[[Entrée]],0)),""))</f>
        <v>0</v>
      </c>
      <c r="D21" s="14"/>
      <c r="E21" s="14"/>
      <c r="F21" s="16"/>
      <c r="G21" s="16"/>
      <c r="H21" s="8"/>
      <c r="I21" s="6"/>
      <c r="J21" s="15">
        <f>IF(RAE_SP_MAT[[#This Row],[Rôle ou catégorie]]="","",IFERROR(INDEX(Referentiel[[Nature]],MATCH(RAE_SP_MAT[[#This Row],[Rôle ou catégorie]],Referentiel[[Entrée]],0)),"?"))</f>
        <v>0</v>
      </c>
      <c r="K21" s="15">
        <f>IF(RAE_SP_MAT[[#This Row],[Rôle ou catégorie]]="","",IFERROR(INDEX(Referentiel[[Code comptable]],MATCH(RAE_SP_MAT[[#This Row],[Rôle ou catégorie]],Referentiel[[Entrée]],0)),"?"))</f>
        <v>0</v>
      </c>
      <c r="L21" s="15">
        <f>IF(RAE_SP_MAT[[#This Row],[Rôle ou catégorie]]="","",IFERROR(INDEX(Referentiel[[Service]],MATCH(RAE_SP_MAT[[#This Row],[Rôle ou catégorie]],Referentiel[[Entrée]],0)),"?")&amp;"")</f>
        <v>0</v>
      </c>
      <c r="M21" s="15">
        <f>IF(RAE_SP_MAT[[#This Row],[Rôle ou catégorie]]="","",IFERROR(INDEX(Referentiel[[Taux horaire]],MATCH(RAE_SP_MAT[[#This Row],[Rôle ou catégorie]],Referentiel[[Entrée]],0)),"?"))</f>
        <v>0</v>
      </c>
      <c r="N21" s="16">
        <f>IF(RAE_SP_MAT[[#This Row],[Rôle ou catégorie]]="","",IF(RAE_SP_MAT[[#This Row],[Type]]="Main-d’œuvre",N(RAE_SP_MAT[[#This Row],[Jours restants]])*HeuresParJour*RAE_SP_MAT[[#This Row],[Taux horaire]]*RAE_SP_MAT[[#This Row],[Coefficient]],0))</f>
        <v>0</v>
      </c>
      <c r="O21" s="16">
        <f>IF(RAE_SP_MAT[[#This Row],[Rôle ou catégorie]]="","",IF(RAE_SP_MAT[[#This Row],[Type]]="Hors main-d’œuvre",N(RAE_SP_MAT[[#This Row],[Débours restant]]),0))</f>
        <v>0</v>
      </c>
      <c r="P21" s="16">
        <f>IF(RAE_SP_MAT[[#This Row],[Rôle ou catégorie]]="","",RAE_SP_MAT[[#This Row],[Main-d’œuvre]]+RAE_SP_MAT[[#This Row],[Débours]])</f>
        <v>0</v>
      </c>
      <c r="Q21" s="15">
        <f>IF(RAE_SP_MAT[[#This Row],[Rôle ou catégorie]]="","",IFERROR(INDEX(Referentiel[[Type de nature]],MATCH(RAE_SP_MAT[[#This Row],[Rôle ou catégorie]],Referentiel[[Entrée]],0)),"?"))</f>
        <v>0</v>
      </c>
      <c r="R21" s="15">
        <f>IFERROR(INDEX(Taches[[Coefficient]],MATCH(RAE_SP_MAT[[#This Row],[Tâche]],Taches[[Entrée]],0)),1)</f>
        <v>0</v>
      </c>
      <c r="S21" s="15"/>
    </row>
    <row r="22" spans="1:19">
      <c r="A22" s="14"/>
      <c r="B22" s="15">
        <f>IF(RAE_SP_MAT[[#This Row],[Tâche]]="","",IFERROR(INDEX(Taches[[Description]],MATCH(RAE_SP_MAT[[#This Row],[Tâche]],Taches[[Entrée]],0)),""))</f>
        <v>0</v>
      </c>
      <c r="C22" s="15">
        <f>IF(RAE_SP_MAT[[#This Row],[Tâche]]="","",IFERROR(INDEX(Taches[[État]],MATCH(RAE_SP_MAT[[#This Row],[Tâche]],Taches[[Entrée]],0)),""))</f>
        <v>0</v>
      </c>
      <c r="D22" s="14"/>
      <c r="E22" s="14"/>
      <c r="F22" s="16"/>
      <c r="G22" s="16"/>
      <c r="H22" s="8"/>
      <c r="I22" s="6"/>
      <c r="J22" s="15">
        <f>IF(RAE_SP_MAT[[#This Row],[Rôle ou catégorie]]="","",IFERROR(INDEX(Referentiel[[Nature]],MATCH(RAE_SP_MAT[[#This Row],[Rôle ou catégorie]],Referentiel[[Entrée]],0)),"?"))</f>
        <v>0</v>
      </c>
      <c r="K22" s="15">
        <f>IF(RAE_SP_MAT[[#This Row],[Rôle ou catégorie]]="","",IFERROR(INDEX(Referentiel[[Code comptable]],MATCH(RAE_SP_MAT[[#This Row],[Rôle ou catégorie]],Referentiel[[Entrée]],0)),"?"))</f>
        <v>0</v>
      </c>
      <c r="L22" s="15">
        <f>IF(RAE_SP_MAT[[#This Row],[Rôle ou catégorie]]="","",IFERROR(INDEX(Referentiel[[Service]],MATCH(RAE_SP_MAT[[#This Row],[Rôle ou catégorie]],Referentiel[[Entrée]],0)),"?")&amp;"")</f>
        <v>0</v>
      </c>
      <c r="M22" s="15">
        <f>IF(RAE_SP_MAT[[#This Row],[Rôle ou catégorie]]="","",IFERROR(INDEX(Referentiel[[Taux horaire]],MATCH(RAE_SP_MAT[[#This Row],[Rôle ou catégorie]],Referentiel[[Entrée]],0)),"?"))</f>
        <v>0</v>
      </c>
      <c r="N22" s="16">
        <f>IF(RAE_SP_MAT[[#This Row],[Rôle ou catégorie]]="","",IF(RAE_SP_MAT[[#This Row],[Type]]="Main-d’œuvre",N(RAE_SP_MAT[[#This Row],[Jours restants]])*HeuresParJour*RAE_SP_MAT[[#This Row],[Taux horaire]]*RAE_SP_MAT[[#This Row],[Coefficient]],0))</f>
        <v>0</v>
      </c>
      <c r="O22" s="16">
        <f>IF(RAE_SP_MAT[[#This Row],[Rôle ou catégorie]]="","",IF(RAE_SP_MAT[[#This Row],[Type]]="Hors main-d’œuvre",N(RAE_SP_MAT[[#This Row],[Débours restant]]),0))</f>
        <v>0</v>
      </c>
      <c r="P22" s="16">
        <f>IF(RAE_SP_MAT[[#This Row],[Rôle ou catégorie]]="","",RAE_SP_MAT[[#This Row],[Main-d’œuvre]]+RAE_SP_MAT[[#This Row],[Débours]])</f>
        <v>0</v>
      </c>
      <c r="Q22" s="15">
        <f>IF(RAE_SP_MAT[[#This Row],[Rôle ou catégorie]]="","",IFERROR(INDEX(Referentiel[[Type de nature]],MATCH(RAE_SP_MAT[[#This Row],[Rôle ou catégorie]],Referentiel[[Entrée]],0)),"?"))</f>
        <v>0</v>
      </c>
      <c r="R22" s="15">
        <f>IFERROR(INDEX(Taches[[Coefficient]],MATCH(RAE_SP_MAT[[#This Row],[Tâche]],Taches[[Entrée]],0)),1)</f>
        <v>0</v>
      </c>
      <c r="S22" s="15"/>
    </row>
    <row r="23" spans="1:19">
      <c r="A23" s="14"/>
      <c r="B23" s="15">
        <f>IF(RAE_SP_MAT[[#This Row],[Tâche]]="","",IFERROR(INDEX(Taches[[Description]],MATCH(RAE_SP_MAT[[#This Row],[Tâche]],Taches[[Entrée]],0)),""))</f>
        <v>0</v>
      </c>
      <c r="C23" s="15">
        <f>IF(RAE_SP_MAT[[#This Row],[Tâche]]="","",IFERROR(INDEX(Taches[[État]],MATCH(RAE_SP_MAT[[#This Row],[Tâche]],Taches[[Entrée]],0)),""))</f>
        <v>0</v>
      </c>
      <c r="D23" s="14"/>
      <c r="E23" s="14"/>
      <c r="F23" s="16"/>
      <c r="G23" s="16"/>
      <c r="H23" s="8"/>
      <c r="I23" s="6"/>
      <c r="J23" s="15">
        <f>IF(RAE_SP_MAT[[#This Row],[Rôle ou catégorie]]="","",IFERROR(INDEX(Referentiel[[Nature]],MATCH(RAE_SP_MAT[[#This Row],[Rôle ou catégorie]],Referentiel[[Entrée]],0)),"?"))</f>
        <v>0</v>
      </c>
      <c r="K23" s="15">
        <f>IF(RAE_SP_MAT[[#This Row],[Rôle ou catégorie]]="","",IFERROR(INDEX(Referentiel[[Code comptable]],MATCH(RAE_SP_MAT[[#This Row],[Rôle ou catégorie]],Referentiel[[Entrée]],0)),"?"))</f>
        <v>0</v>
      </c>
      <c r="L23" s="15">
        <f>IF(RAE_SP_MAT[[#This Row],[Rôle ou catégorie]]="","",IFERROR(INDEX(Referentiel[[Service]],MATCH(RAE_SP_MAT[[#This Row],[Rôle ou catégorie]],Referentiel[[Entrée]],0)),"?")&amp;"")</f>
        <v>0</v>
      </c>
      <c r="M23" s="15">
        <f>IF(RAE_SP_MAT[[#This Row],[Rôle ou catégorie]]="","",IFERROR(INDEX(Referentiel[[Taux horaire]],MATCH(RAE_SP_MAT[[#This Row],[Rôle ou catégorie]],Referentiel[[Entrée]],0)),"?"))</f>
        <v>0</v>
      </c>
      <c r="N23" s="16">
        <f>IF(RAE_SP_MAT[[#This Row],[Rôle ou catégorie]]="","",IF(RAE_SP_MAT[[#This Row],[Type]]="Main-d’œuvre",N(RAE_SP_MAT[[#This Row],[Jours restants]])*HeuresParJour*RAE_SP_MAT[[#This Row],[Taux horaire]]*RAE_SP_MAT[[#This Row],[Coefficient]],0))</f>
        <v>0</v>
      </c>
      <c r="O23" s="16">
        <f>IF(RAE_SP_MAT[[#This Row],[Rôle ou catégorie]]="","",IF(RAE_SP_MAT[[#This Row],[Type]]="Hors main-d’œuvre",N(RAE_SP_MAT[[#This Row],[Débours restant]]),0))</f>
        <v>0</v>
      </c>
      <c r="P23" s="16">
        <f>IF(RAE_SP_MAT[[#This Row],[Rôle ou catégorie]]="","",RAE_SP_MAT[[#This Row],[Main-d’œuvre]]+RAE_SP_MAT[[#This Row],[Débours]])</f>
        <v>0</v>
      </c>
      <c r="Q23" s="15">
        <f>IF(RAE_SP_MAT[[#This Row],[Rôle ou catégorie]]="","",IFERROR(INDEX(Referentiel[[Type de nature]],MATCH(RAE_SP_MAT[[#This Row],[Rôle ou catégorie]],Referentiel[[Entrée]],0)),"?"))</f>
        <v>0</v>
      </c>
      <c r="R23" s="15">
        <f>IFERROR(INDEX(Taches[[Coefficient]],MATCH(RAE_SP_MAT[[#This Row],[Tâche]],Taches[[Entrée]],0)),1)</f>
        <v>0</v>
      </c>
      <c r="S23" s="15"/>
    </row>
    <row r="24" spans="1:19">
      <c r="A24" s="14"/>
      <c r="B24" s="15">
        <f>IF(RAE_SP_MAT[[#This Row],[Tâche]]="","",IFERROR(INDEX(Taches[[Description]],MATCH(RAE_SP_MAT[[#This Row],[Tâche]],Taches[[Entrée]],0)),""))</f>
        <v>0</v>
      </c>
      <c r="C24" s="15">
        <f>IF(RAE_SP_MAT[[#This Row],[Tâche]]="","",IFERROR(INDEX(Taches[[État]],MATCH(RAE_SP_MAT[[#This Row],[Tâche]],Taches[[Entrée]],0)),""))</f>
        <v>0</v>
      </c>
      <c r="D24" s="14"/>
      <c r="E24" s="14"/>
      <c r="F24" s="16"/>
      <c r="G24" s="16"/>
      <c r="H24" s="8"/>
      <c r="I24" s="6"/>
      <c r="J24" s="15">
        <f>IF(RAE_SP_MAT[[#This Row],[Rôle ou catégorie]]="","",IFERROR(INDEX(Referentiel[[Nature]],MATCH(RAE_SP_MAT[[#This Row],[Rôle ou catégorie]],Referentiel[[Entrée]],0)),"?"))</f>
        <v>0</v>
      </c>
      <c r="K24" s="15">
        <f>IF(RAE_SP_MAT[[#This Row],[Rôle ou catégorie]]="","",IFERROR(INDEX(Referentiel[[Code comptable]],MATCH(RAE_SP_MAT[[#This Row],[Rôle ou catégorie]],Referentiel[[Entrée]],0)),"?"))</f>
        <v>0</v>
      </c>
      <c r="L24" s="15">
        <f>IF(RAE_SP_MAT[[#This Row],[Rôle ou catégorie]]="","",IFERROR(INDEX(Referentiel[[Service]],MATCH(RAE_SP_MAT[[#This Row],[Rôle ou catégorie]],Referentiel[[Entrée]],0)),"?")&amp;"")</f>
        <v>0</v>
      </c>
      <c r="M24" s="15">
        <f>IF(RAE_SP_MAT[[#This Row],[Rôle ou catégorie]]="","",IFERROR(INDEX(Referentiel[[Taux horaire]],MATCH(RAE_SP_MAT[[#This Row],[Rôle ou catégorie]],Referentiel[[Entrée]],0)),"?"))</f>
        <v>0</v>
      </c>
      <c r="N24" s="16">
        <f>IF(RAE_SP_MAT[[#This Row],[Rôle ou catégorie]]="","",IF(RAE_SP_MAT[[#This Row],[Type]]="Main-d’œuvre",N(RAE_SP_MAT[[#This Row],[Jours restants]])*HeuresParJour*RAE_SP_MAT[[#This Row],[Taux horaire]]*RAE_SP_MAT[[#This Row],[Coefficient]],0))</f>
        <v>0</v>
      </c>
      <c r="O24" s="16">
        <f>IF(RAE_SP_MAT[[#This Row],[Rôle ou catégorie]]="","",IF(RAE_SP_MAT[[#This Row],[Type]]="Hors main-d’œuvre",N(RAE_SP_MAT[[#This Row],[Débours restant]]),0))</f>
        <v>0</v>
      </c>
      <c r="P24" s="16">
        <f>IF(RAE_SP_MAT[[#This Row],[Rôle ou catégorie]]="","",RAE_SP_MAT[[#This Row],[Main-d’œuvre]]+RAE_SP_MAT[[#This Row],[Débours]])</f>
        <v>0</v>
      </c>
      <c r="Q24" s="15">
        <f>IF(RAE_SP_MAT[[#This Row],[Rôle ou catégorie]]="","",IFERROR(INDEX(Referentiel[[Type de nature]],MATCH(RAE_SP_MAT[[#This Row],[Rôle ou catégorie]],Referentiel[[Entrée]],0)),"?"))</f>
        <v>0</v>
      </c>
      <c r="R24" s="15">
        <f>IFERROR(INDEX(Taches[[Coefficient]],MATCH(RAE_SP_MAT[[#This Row],[Tâche]],Taches[[Entrée]],0)),1)</f>
        <v>0</v>
      </c>
      <c r="S24" s="15"/>
    </row>
    <row r="25" spans="1:19">
      <c r="A25" s="14"/>
      <c r="B25" s="15">
        <f>IF(RAE_SP_MAT[[#This Row],[Tâche]]="","",IFERROR(INDEX(Taches[[Description]],MATCH(RAE_SP_MAT[[#This Row],[Tâche]],Taches[[Entrée]],0)),""))</f>
        <v>0</v>
      </c>
      <c r="C25" s="15">
        <f>IF(RAE_SP_MAT[[#This Row],[Tâche]]="","",IFERROR(INDEX(Taches[[État]],MATCH(RAE_SP_MAT[[#This Row],[Tâche]],Taches[[Entrée]],0)),""))</f>
        <v>0</v>
      </c>
      <c r="D25" s="14"/>
      <c r="E25" s="14"/>
      <c r="F25" s="16"/>
      <c r="G25" s="16"/>
      <c r="H25" s="8"/>
      <c r="I25" s="6"/>
      <c r="J25" s="15">
        <f>IF(RAE_SP_MAT[[#This Row],[Rôle ou catégorie]]="","",IFERROR(INDEX(Referentiel[[Nature]],MATCH(RAE_SP_MAT[[#This Row],[Rôle ou catégorie]],Referentiel[[Entrée]],0)),"?"))</f>
        <v>0</v>
      </c>
      <c r="K25" s="15">
        <f>IF(RAE_SP_MAT[[#This Row],[Rôle ou catégorie]]="","",IFERROR(INDEX(Referentiel[[Code comptable]],MATCH(RAE_SP_MAT[[#This Row],[Rôle ou catégorie]],Referentiel[[Entrée]],0)),"?"))</f>
        <v>0</v>
      </c>
      <c r="L25" s="15">
        <f>IF(RAE_SP_MAT[[#This Row],[Rôle ou catégorie]]="","",IFERROR(INDEX(Referentiel[[Service]],MATCH(RAE_SP_MAT[[#This Row],[Rôle ou catégorie]],Referentiel[[Entrée]],0)),"?")&amp;"")</f>
        <v>0</v>
      </c>
      <c r="M25" s="15">
        <f>IF(RAE_SP_MAT[[#This Row],[Rôle ou catégorie]]="","",IFERROR(INDEX(Referentiel[[Taux horaire]],MATCH(RAE_SP_MAT[[#This Row],[Rôle ou catégorie]],Referentiel[[Entrée]],0)),"?"))</f>
        <v>0</v>
      </c>
      <c r="N25" s="16">
        <f>IF(RAE_SP_MAT[[#This Row],[Rôle ou catégorie]]="","",IF(RAE_SP_MAT[[#This Row],[Type]]="Main-d’œuvre",N(RAE_SP_MAT[[#This Row],[Jours restants]])*HeuresParJour*RAE_SP_MAT[[#This Row],[Taux horaire]]*RAE_SP_MAT[[#This Row],[Coefficient]],0))</f>
        <v>0</v>
      </c>
      <c r="O25" s="16">
        <f>IF(RAE_SP_MAT[[#This Row],[Rôle ou catégorie]]="","",IF(RAE_SP_MAT[[#This Row],[Type]]="Hors main-d’œuvre",N(RAE_SP_MAT[[#This Row],[Débours restant]]),0))</f>
        <v>0</v>
      </c>
      <c r="P25" s="16">
        <f>IF(RAE_SP_MAT[[#This Row],[Rôle ou catégorie]]="","",RAE_SP_MAT[[#This Row],[Main-d’œuvre]]+RAE_SP_MAT[[#This Row],[Débours]])</f>
        <v>0</v>
      </c>
      <c r="Q25" s="15">
        <f>IF(RAE_SP_MAT[[#This Row],[Rôle ou catégorie]]="","",IFERROR(INDEX(Referentiel[[Type de nature]],MATCH(RAE_SP_MAT[[#This Row],[Rôle ou catégorie]],Referentiel[[Entrée]],0)),"?"))</f>
        <v>0</v>
      </c>
      <c r="R25" s="15">
        <f>IFERROR(INDEX(Taches[[Coefficient]],MATCH(RAE_SP_MAT[[#This Row],[Tâche]],Taches[[Entrée]],0)),1)</f>
        <v>0</v>
      </c>
      <c r="S25" s="15"/>
    </row>
    <row r="26" spans="1:19">
      <c r="A26" s="14"/>
      <c r="B26" s="15">
        <f>IF(RAE_SP_MAT[[#This Row],[Tâche]]="","",IFERROR(INDEX(Taches[[Description]],MATCH(RAE_SP_MAT[[#This Row],[Tâche]],Taches[[Entrée]],0)),""))</f>
        <v>0</v>
      </c>
      <c r="C26" s="15">
        <f>IF(RAE_SP_MAT[[#This Row],[Tâche]]="","",IFERROR(INDEX(Taches[[État]],MATCH(RAE_SP_MAT[[#This Row],[Tâche]],Taches[[Entrée]],0)),""))</f>
        <v>0</v>
      </c>
      <c r="D26" s="14"/>
      <c r="E26" s="14"/>
      <c r="F26" s="16"/>
      <c r="G26" s="16"/>
      <c r="H26" s="8"/>
      <c r="I26" s="6"/>
      <c r="J26" s="15">
        <f>IF(RAE_SP_MAT[[#This Row],[Rôle ou catégorie]]="","",IFERROR(INDEX(Referentiel[[Nature]],MATCH(RAE_SP_MAT[[#This Row],[Rôle ou catégorie]],Referentiel[[Entrée]],0)),"?"))</f>
        <v>0</v>
      </c>
      <c r="K26" s="15">
        <f>IF(RAE_SP_MAT[[#This Row],[Rôle ou catégorie]]="","",IFERROR(INDEX(Referentiel[[Code comptable]],MATCH(RAE_SP_MAT[[#This Row],[Rôle ou catégorie]],Referentiel[[Entrée]],0)),"?"))</f>
        <v>0</v>
      </c>
      <c r="L26" s="15">
        <f>IF(RAE_SP_MAT[[#This Row],[Rôle ou catégorie]]="","",IFERROR(INDEX(Referentiel[[Service]],MATCH(RAE_SP_MAT[[#This Row],[Rôle ou catégorie]],Referentiel[[Entrée]],0)),"?")&amp;"")</f>
        <v>0</v>
      </c>
      <c r="M26" s="15">
        <f>IF(RAE_SP_MAT[[#This Row],[Rôle ou catégorie]]="","",IFERROR(INDEX(Referentiel[[Taux horaire]],MATCH(RAE_SP_MAT[[#This Row],[Rôle ou catégorie]],Referentiel[[Entrée]],0)),"?"))</f>
        <v>0</v>
      </c>
      <c r="N26" s="16">
        <f>IF(RAE_SP_MAT[[#This Row],[Rôle ou catégorie]]="","",IF(RAE_SP_MAT[[#This Row],[Type]]="Main-d’œuvre",N(RAE_SP_MAT[[#This Row],[Jours restants]])*HeuresParJour*RAE_SP_MAT[[#This Row],[Taux horaire]]*RAE_SP_MAT[[#This Row],[Coefficient]],0))</f>
        <v>0</v>
      </c>
      <c r="O26" s="16">
        <f>IF(RAE_SP_MAT[[#This Row],[Rôle ou catégorie]]="","",IF(RAE_SP_MAT[[#This Row],[Type]]="Hors main-d’œuvre",N(RAE_SP_MAT[[#This Row],[Débours restant]]),0))</f>
        <v>0</v>
      </c>
      <c r="P26" s="16">
        <f>IF(RAE_SP_MAT[[#This Row],[Rôle ou catégorie]]="","",RAE_SP_MAT[[#This Row],[Main-d’œuvre]]+RAE_SP_MAT[[#This Row],[Débours]])</f>
        <v>0</v>
      </c>
      <c r="Q26" s="15">
        <f>IF(RAE_SP_MAT[[#This Row],[Rôle ou catégorie]]="","",IFERROR(INDEX(Referentiel[[Type de nature]],MATCH(RAE_SP_MAT[[#This Row],[Rôle ou catégorie]],Referentiel[[Entrée]],0)),"?"))</f>
        <v>0</v>
      </c>
      <c r="R26" s="15">
        <f>IFERROR(INDEX(Taches[[Coefficient]],MATCH(RAE_SP_MAT[[#This Row],[Tâche]],Taches[[Entrée]],0)),1)</f>
        <v>0</v>
      </c>
      <c r="S26" s="15"/>
    </row>
    <row r="27" spans="1:19">
      <c r="A27" s="14"/>
      <c r="B27" s="15">
        <f>IF(RAE_SP_MAT[[#This Row],[Tâche]]="","",IFERROR(INDEX(Taches[[Description]],MATCH(RAE_SP_MAT[[#This Row],[Tâche]],Taches[[Entrée]],0)),""))</f>
        <v>0</v>
      </c>
      <c r="C27" s="15">
        <f>IF(RAE_SP_MAT[[#This Row],[Tâche]]="","",IFERROR(INDEX(Taches[[État]],MATCH(RAE_SP_MAT[[#This Row],[Tâche]],Taches[[Entrée]],0)),""))</f>
        <v>0</v>
      </c>
      <c r="D27" s="14"/>
      <c r="E27" s="14"/>
      <c r="F27" s="16"/>
      <c r="G27" s="16"/>
      <c r="H27" s="8"/>
      <c r="I27" s="6"/>
      <c r="J27" s="15">
        <f>IF(RAE_SP_MAT[[#This Row],[Rôle ou catégorie]]="","",IFERROR(INDEX(Referentiel[[Nature]],MATCH(RAE_SP_MAT[[#This Row],[Rôle ou catégorie]],Referentiel[[Entrée]],0)),"?"))</f>
        <v>0</v>
      </c>
      <c r="K27" s="15">
        <f>IF(RAE_SP_MAT[[#This Row],[Rôle ou catégorie]]="","",IFERROR(INDEX(Referentiel[[Code comptable]],MATCH(RAE_SP_MAT[[#This Row],[Rôle ou catégorie]],Referentiel[[Entrée]],0)),"?"))</f>
        <v>0</v>
      </c>
      <c r="L27" s="15">
        <f>IF(RAE_SP_MAT[[#This Row],[Rôle ou catégorie]]="","",IFERROR(INDEX(Referentiel[[Service]],MATCH(RAE_SP_MAT[[#This Row],[Rôle ou catégorie]],Referentiel[[Entrée]],0)),"?")&amp;"")</f>
        <v>0</v>
      </c>
      <c r="M27" s="15">
        <f>IF(RAE_SP_MAT[[#This Row],[Rôle ou catégorie]]="","",IFERROR(INDEX(Referentiel[[Taux horaire]],MATCH(RAE_SP_MAT[[#This Row],[Rôle ou catégorie]],Referentiel[[Entrée]],0)),"?"))</f>
        <v>0</v>
      </c>
      <c r="N27" s="16">
        <f>IF(RAE_SP_MAT[[#This Row],[Rôle ou catégorie]]="","",IF(RAE_SP_MAT[[#This Row],[Type]]="Main-d’œuvre",N(RAE_SP_MAT[[#This Row],[Jours restants]])*HeuresParJour*RAE_SP_MAT[[#This Row],[Taux horaire]]*RAE_SP_MAT[[#This Row],[Coefficient]],0))</f>
        <v>0</v>
      </c>
      <c r="O27" s="16">
        <f>IF(RAE_SP_MAT[[#This Row],[Rôle ou catégorie]]="","",IF(RAE_SP_MAT[[#This Row],[Type]]="Hors main-d’œuvre",N(RAE_SP_MAT[[#This Row],[Débours restant]]),0))</f>
        <v>0</v>
      </c>
      <c r="P27" s="16">
        <f>IF(RAE_SP_MAT[[#This Row],[Rôle ou catégorie]]="","",RAE_SP_MAT[[#This Row],[Main-d’œuvre]]+RAE_SP_MAT[[#This Row],[Débours]])</f>
        <v>0</v>
      </c>
      <c r="Q27" s="15">
        <f>IF(RAE_SP_MAT[[#This Row],[Rôle ou catégorie]]="","",IFERROR(INDEX(Referentiel[[Type de nature]],MATCH(RAE_SP_MAT[[#This Row],[Rôle ou catégorie]],Referentiel[[Entrée]],0)),"?"))</f>
        <v>0</v>
      </c>
      <c r="R27" s="15">
        <f>IFERROR(INDEX(Taches[[Coefficient]],MATCH(RAE_SP_MAT[[#This Row],[Tâche]],Taches[[Entrée]],0)),1)</f>
        <v>0</v>
      </c>
      <c r="S27" s="15"/>
    </row>
    <row r="28" spans="1:19">
      <c r="A28" s="14" t="s">
        <v>90</v>
      </c>
      <c r="F28" s="16">
        <f>SUBTOTAL(109,RAE_SP_MAT[[Budget]])</f>
        <v>0</v>
      </c>
      <c r="G28" s="16">
        <f>SUBTOTAL(109,RAE_SP_MAT[[Reste précédent]])</f>
        <v>0</v>
      </c>
      <c r="H28" s="8">
        <f>SUBTOTAL(109,RAE_SP_MAT[[Jours restants]])</f>
        <v>0</v>
      </c>
      <c r="I28" s="6">
        <f>SUBTOTAL(109,RAE_SP_MAT[[Débours restant]])</f>
        <v>0</v>
      </c>
      <c r="N28" s="16">
        <f>SUBTOTAL(109,RAE_SP_MAT[[Main-d’œuvre]])</f>
        <v>0</v>
      </c>
      <c r="O28" s="16">
        <f>SUBTOTAL(109,RAE_SP_MAT[[Débours]])</f>
        <v>0</v>
      </c>
      <c r="P28" s="16">
        <f>SUBTOTAL(109,RAE_SP_MAT[[Reste à engager]])</f>
        <v>0</v>
      </c>
    </row>
    <row r="30" spans="1:19">
      <c r="A30" s="12" t="s">
        <v>110</v>
      </c>
    </row>
    <row r="31" spans="1:19">
      <c r="A31" s="13" t="s">
        <v>111</v>
      </c>
    </row>
  </sheetData>
  <mergeCells count="1">
    <mergeCell ref="H14:I14"/>
  </mergeCells>
  <dataValidations count="4">
    <dataValidation type="list" allowBlank="1" showInputMessage="1" showErrorMessage="1" error="Choisis une tâche non terminée du sous-projet (onglet Tâches)." sqref="A16:A415">
      <formula1>'Tâches'!$A$9:$A$9</formula1>
    </dataValidation>
    <dataValidation type="list" allowBlank="1" showInputMessage="1" showErrorMessage="1" error="Choisis un rôle ou une catégorie du référentiel (onglet Paramètres)." sqref="D16:D415">
      <formula1>'Paramètres'!$A$5:$A$13</formula1>
    </dataValidation>
    <dataValidation type="decimal" operator="greaterThanOrEqual" allowBlank="1" showInputMessage="1" showErrorMessage="1" error="Un reste à engager est un nombre positif ou nul." sqref="H16:H415">
      <formula1>0</formula1>
    </dataValidation>
    <dataValidation type="decimal" operator="greaterThanOrEqual" allowBlank="1" showInputMessage="1" showErrorMessage="1" error="Un reste à engager est un nombre positif ou nul." sqref="I16:I415">
      <formula1>0</formula1>
    </dataValidation>
  </dataValidations>
  <pageMargins left="0.7" right="0.7" top="0.75" bottom="0.75" header="0.3" footer="0.3"/>
  <pageSetup fitToHeight="0" orientation="landscape"/>
  <headerFooter>
    <oddFooter>&amp;L&amp;8© 2027 Exemple Industrie — Généré par Waterfall le 2027-02-15 — logiciel libre sous licence AGPL-3.0 — www.waterfall-project.pro&amp;R&amp;8Page &amp;P /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30"/>
  <sheetViews>
    <sheetView workbookViewId="0">
      <pane xSplit="1" ySplit="15" topLeftCell="B16" activePane="bottomRight" state="frozen"/>
      <selection pane="topRight" activeCell="B1" sqref="B1"/>
      <selection pane="bottomLeft" activeCell="A16" sqref="A16"/>
      <selection pane="bottomRight"/>
    </sheetView>
  </sheetViews>
  <sheetFormatPr defaultRowHeight="15" outlineLevelCol="1"/>
  <cols>
    <col min="1" max="1" width="34.7109375" customWidth="1"/>
    <col min="2" max="2" width="40.7109375" customWidth="1"/>
    <col min="3" max="3" width="13.7109375" customWidth="1"/>
    <col min="4" max="4" width="32.7109375" customWidth="1"/>
    <col min="5" max="5" width="34.7109375" customWidth="1"/>
    <col min="6" max="9" width="13.7109375" customWidth="1"/>
    <col min="10" max="10" width="16.7109375" customWidth="1"/>
    <col min="11" max="11" width="13.7109375" customWidth="1"/>
    <col min="12" max="12" width="22.7109375" customWidth="1"/>
    <col min="13" max="16" width="13.7109375" customWidth="1"/>
    <col min="17" max="19" width="10.7109375" hidden="1" customWidth="1" outlineLevel="1"/>
  </cols>
  <sheetData>
    <row r="1" spans="1:19">
      <c r="A1" s="2" t="s">
        <v>77</v>
      </c>
    </row>
    <row r="2" spans="1:19">
      <c r="A2" s="12" t="s">
        <v>80</v>
      </c>
    </row>
    <row r="4" spans="1:19">
      <c r="A4" t="s">
        <v>81</v>
      </c>
      <c r="B4" s="6">
        <v>16724</v>
      </c>
    </row>
    <row r="5" spans="1:19">
      <c r="A5" t="s">
        <v>82</v>
      </c>
      <c r="B5" s="6">
        <v>4200</v>
      </c>
    </row>
    <row r="6" spans="1:19">
      <c r="A6" t="s">
        <v>83</v>
      </c>
      <c r="B6" s="6">
        <f>SUBTOTAL(109,RAE_Hors_sous_projet[[Reste à engager]])</f>
        <v>0</v>
      </c>
    </row>
    <row r="7" spans="1:19">
      <c r="A7" t="s">
        <v>84</v>
      </c>
      <c r="B7" s="6">
        <v>1500</v>
      </c>
    </row>
    <row r="9" spans="1:19">
      <c r="A9" s="3" t="s">
        <v>85</v>
      </c>
      <c r="B9" s="9">
        <f>$B$6+$B$7</f>
        <v>0</v>
      </c>
    </row>
    <row r="10" spans="1:19">
      <c r="A10" s="3" t="s">
        <v>86</v>
      </c>
      <c r="B10" s="9">
        <f>$B$5+$B$9</f>
        <v>0</v>
      </c>
    </row>
    <row r="11" spans="1:19">
      <c r="A11" s="3" t="s">
        <v>87</v>
      </c>
      <c r="B11" s="9">
        <f>$B$10-$B$4</f>
        <v>0</v>
      </c>
    </row>
    <row r="12" spans="1:19">
      <c r="A12" s="3" t="s">
        <v>88</v>
      </c>
      <c r="B12" s="7">
        <f>IF($B$10=0,"non calculable",$B$5/$B$10)</f>
        <v>0</v>
      </c>
    </row>
    <row r="14" spans="1:19">
      <c r="H14" s="4" t="s">
        <v>89</v>
      </c>
      <c r="I14" s="4"/>
    </row>
    <row r="15" spans="1:19" s="5" customFormat="1" ht="30" customHeight="1">
      <c r="A15" s="5" t="s">
        <v>91</v>
      </c>
      <c r="B15" s="5" t="s">
        <v>92</v>
      </c>
      <c r="C15" s="5" t="s">
        <v>53</v>
      </c>
      <c r="D15" s="5" t="s">
        <v>93</v>
      </c>
      <c r="E15" s="5" t="s">
        <v>94</v>
      </c>
      <c r="F15" s="5" t="s">
        <v>95</v>
      </c>
      <c r="G15" s="5" t="s">
        <v>96</v>
      </c>
      <c r="H15" s="5" t="s">
        <v>97</v>
      </c>
      <c r="I15" s="5" t="s">
        <v>98</v>
      </c>
      <c r="J15" s="5" t="s">
        <v>7</v>
      </c>
      <c r="K15" s="5" t="s">
        <v>9</v>
      </c>
      <c r="L15" s="5" t="s">
        <v>6</v>
      </c>
      <c r="M15" s="5" t="s">
        <v>10</v>
      </c>
      <c r="N15" s="5" t="s">
        <v>16</v>
      </c>
      <c r="O15" s="5" t="s">
        <v>99</v>
      </c>
      <c r="P15" s="5" t="s">
        <v>85</v>
      </c>
      <c r="Q15" s="5" t="s">
        <v>100</v>
      </c>
      <c r="R15" s="5" t="s">
        <v>54</v>
      </c>
      <c r="S15" s="5" t="s">
        <v>101</v>
      </c>
    </row>
    <row r="16" spans="1:19">
      <c r="A16" s="14" t="s">
        <v>75</v>
      </c>
      <c r="B16" s="15">
        <f>IF(RAE_Hors_sous_projet[[#This Row],[Tâche]]="","",IFERROR(INDEX(Taches[[Description]],MATCH(RAE_Hors_sous_projet[[#This Row],[Tâche]],Taches[[Entrée]],0)),""))</f>
        <v>0</v>
      </c>
      <c r="C16" s="15">
        <f>IF(RAE_Hors_sous_projet[[#This Row],[Tâche]]="","",IFERROR(INDEX(Taches[[État]],MATCH(RAE_Hors_sous_projet[[#This Row],[Tâche]],Taches[[Entrée]],0)),""))</f>
        <v>0</v>
      </c>
      <c r="D16" s="14" t="s">
        <v>11</v>
      </c>
      <c r="E16" s="14"/>
      <c r="F16" s="16">
        <v>14948</v>
      </c>
      <c r="G16" s="16">
        <v>11200</v>
      </c>
      <c r="H16" s="8">
        <v>12</v>
      </c>
      <c r="I16" s="6"/>
      <c r="J16" s="15">
        <f>IF(RAE_Hors_sous_projet[[#This Row],[Rôle ou catégorie]]="","",IFERROR(INDEX(Referentiel[[Nature]],MATCH(RAE_Hors_sous_projet[[#This Row],[Rôle ou catégorie]],Referentiel[[Entrée]],0)),"?"))</f>
        <v>0</v>
      </c>
      <c r="K16" s="15">
        <f>IF(RAE_Hors_sous_projet[[#This Row],[Rôle ou catégorie]]="","",IFERROR(INDEX(Referentiel[[Code comptable]],MATCH(RAE_Hors_sous_projet[[#This Row],[Rôle ou catégorie]],Referentiel[[Entrée]],0)),"?"))</f>
        <v>0</v>
      </c>
      <c r="L16" s="15">
        <f>IF(RAE_Hors_sous_projet[[#This Row],[Rôle ou catégorie]]="","",IFERROR(INDEX(Referentiel[[Service]],MATCH(RAE_Hors_sous_projet[[#This Row],[Rôle ou catégorie]],Referentiel[[Entrée]],0)),"?")&amp;"")</f>
        <v>0</v>
      </c>
      <c r="M16" s="15">
        <f>IF(RAE_Hors_sous_projet[[#This Row],[Rôle ou catégorie]]="","",IFERROR(INDEX(Referentiel[[Taux horaire]],MATCH(RAE_Hors_sous_projet[[#This Row],[Rôle ou catégorie]],Referentiel[[Entrée]],0)),"?"))</f>
        <v>0</v>
      </c>
      <c r="N16" s="16">
        <f>IF(RAE_Hors_sous_projet[[#This Row],[Rôle ou catégorie]]="","",IF(RAE_Hors_sous_projet[[#This Row],[Type]]="Main-d’œuvre",N(RAE_Hors_sous_projet[[#This Row],[Jours restants]])*HeuresParJour*RAE_Hors_sous_projet[[#This Row],[Taux horaire]]*RAE_Hors_sous_projet[[#This Row],[Coefficient]],0))</f>
        <v>0</v>
      </c>
      <c r="O16" s="16">
        <f>IF(RAE_Hors_sous_projet[[#This Row],[Rôle ou catégorie]]="","",IF(RAE_Hors_sous_projet[[#This Row],[Type]]="Hors main-d’œuvre",N(RAE_Hors_sous_projet[[#This Row],[Débours restant]]),0))</f>
        <v>0</v>
      </c>
      <c r="P16" s="16">
        <f>IF(RAE_Hors_sous_projet[[#This Row],[Rôle ou catégorie]]="","",RAE_Hors_sous_projet[[#This Row],[Main-d’œuvre]]+RAE_Hors_sous_projet[[#This Row],[Débours]])</f>
        <v>0</v>
      </c>
      <c r="Q16" s="15">
        <f>IF(RAE_Hors_sous_projet[[#This Row],[Rôle ou catégorie]]="","",IFERROR(INDEX(Referentiel[[Type de nature]],MATCH(RAE_Hors_sous_projet[[#This Row],[Rôle ou catégorie]],Referentiel[[Entrée]],0)),"?"))</f>
        <v>0</v>
      </c>
      <c r="R16" s="15">
        <f>IFERROR(INDEX(Taches[[Coefficient]],MATCH(RAE_Hors_sous_projet[[#This Row],[Tâche]],Taches[[Entrée]],0)),1)</f>
        <v>0</v>
      </c>
      <c r="S16" s="15" t="s">
        <v>117</v>
      </c>
    </row>
    <row r="17" spans="1:19">
      <c r="A17" s="14"/>
      <c r="B17" s="15">
        <f>IF(RAE_Hors_sous_projet[[#This Row],[Tâche]]="","",IFERROR(INDEX(Taches[[Description]],MATCH(RAE_Hors_sous_projet[[#This Row],[Tâche]],Taches[[Entrée]],0)),""))</f>
        <v>0</v>
      </c>
      <c r="C17" s="15">
        <f>IF(RAE_Hors_sous_projet[[#This Row],[Tâche]]="","",IFERROR(INDEX(Taches[[État]],MATCH(RAE_Hors_sous_projet[[#This Row],[Tâche]],Taches[[Entrée]],0)),""))</f>
        <v>0</v>
      </c>
      <c r="D17" s="14"/>
      <c r="E17" s="14"/>
      <c r="F17" s="16"/>
      <c r="G17" s="16"/>
      <c r="H17" s="8"/>
      <c r="I17" s="6"/>
      <c r="J17" s="15">
        <f>IF(RAE_Hors_sous_projet[[#This Row],[Rôle ou catégorie]]="","",IFERROR(INDEX(Referentiel[[Nature]],MATCH(RAE_Hors_sous_projet[[#This Row],[Rôle ou catégorie]],Referentiel[[Entrée]],0)),"?"))</f>
        <v>0</v>
      </c>
      <c r="K17" s="15">
        <f>IF(RAE_Hors_sous_projet[[#This Row],[Rôle ou catégorie]]="","",IFERROR(INDEX(Referentiel[[Code comptable]],MATCH(RAE_Hors_sous_projet[[#This Row],[Rôle ou catégorie]],Referentiel[[Entrée]],0)),"?"))</f>
        <v>0</v>
      </c>
      <c r="L17" s="15">
        <f>IF(RAE_Hors_sous_projet[[#This Row],[Rôle ou catégorie]]="","",IFERROR(INDEX(Referentiel[[Service]],MATCH(RAE_Hors_sous_projet[[#This Row],[Rôle ou catégorie]],Referentiel[[Entrée]],0)),"?")&amp;"")</f>
        <v>0</v>
      </c>
      <c r="M17" s="15">
        <f>IF(RAE_Hors_sous_projet[[#This Row],[Rôle ou catégorie]]="","",IFERROR(INDEX(Referentiel[[Taux horaire]],MATCH(RAE_Hors_sous_projet[[#This Row],[Rôle ou catégorie]],Referentiel[[Entrée]],0)),"?"))</f>
        <v>0</v>
      </c>
      <c r="N17" s="16">
        <f>IF(RAE_Hors_sous_projet[[#This Row],[Rôle ou catégorie]]="","",IF(RAE_Hors_sous_projet[[#This Row],[Type]]="Main-d’œuvre",N(RAE_Hors_sous_projet[[#This Row],[Jours restants]])*HeuresParJour*RAE_Hors_sous_projet[[#This Row],[Taux horaire]]*RAE_Hors_sous_projet[[#This Row],[Coefficient]],0))</f>
        <v>0</v>
      </c>
      <c r="O17" s="16">
        <f>IF(RAE_Hors_sous_projet[[#This Row],[Rôle ou catégorie]]="","",IF(RAE_Hors_sous_projet[[#This Row],[Type]]="Hors main-d’œuvre",N(RAE_Hors_sous_projet[[#This Row],[Débours restant]]),0))</f>
        <v>0</v>
      </c>
      <c r="P17" s="16">
        <f>IF(RAE_Hors_sous_projet[[#This Row],[Rôle ou catégorie]]="","",RAE_Hors_sous_projet[[#This Row],[Main-d’œuvre]]+RAE_Hors_sous_projet[[#This Row],[Débours]])</f>
        <v>0</v>
      </c>
      <c r="Q17" s="15">
        <f>IF(RAE_Hors_sous_projet[[#This Row],[Rôle ou catégorie]]="","",IFERROR(INDEX(Referentiel[[Type de nature]],MATCH(RAE_Hors_sous_projet[[#This Row],[Rôle ou catégorie]],Referentiel[[Entrée]],0)),"?"))</f>
        <v>0</v>
      </c>
      <c r="R17" s="15">
        <f>IFERROR(INDEX(Taches[[Coefficient]],MATCH(RAE_Hors_sous_projet[[#This Row],[Tâche]],Taches[[Entrée]],0)),1)</f>
        <v>0</v>
      </c>
      <c r="S17" s="15"/>
    </row>
    <row r="18" spans="1:19">
      <c r="A18" s="14"/>
      <c r="B18" s="15">
        <f>IF(RAE_Hors_sous_projet[[#This Row],[Tâche]]="","",IFERROR(INDEX(Taches[[Description]],MATCH(RAE_Hors_sous_projet[[#This Row],[Tâche]],Taches[[Entrée]],0)),""))</f>
        <v>0</v>
      </c>
      <c r="C18" s="15">
        <f>IF(RAE_Hors_sous_projet[[#This Row],[Tâche]]="","",IFERROR(INDEX(Taches[[État]],MATCH(RAE_Hors_sous_projet[[#This Row],[Tâche]],Taches[[Entrée]],0)),""))</f>
        <v>0</v>
      </c>
      <c r="D18" s="14"/>
      <c r="E18" s="14"/>
      <c r="F18" s="16"/>
      <c r="G18" s="16"/>
      <c r="H18" s="8"/>
      <c r="I18" s="6"/>
      <c r="J18" s="15">
        <f>IF(RAE_Hors_sous_projet[[#This Row],[Rôle ou catégorie]]="","",IFERROR(INDEX(Referentiel[[Nature]],MATCH(RAE_Hors_sous_projet[[#This Row],[Rôle ou catégorie]],Referentiel[[Entrée]],0)),"?"))</f>
        <v>0</v>
      </c>
      <c r="K18" s="15">
        <f>IF(RAE_Hors_sous_projet[[#This Row],[Rôle ou catégorie]]="","",IFERROR(INDEX(Referentiel[[Code comptable]],MATCH(RAE_Hors_sous_projet[[#This Row],[Rôle ou catégorie]],Referentiel[[Entrée]],0)),"?"))</f>
        <v>0</v>
      </c>
      <c r="L18" s="15">
        <f>IF(RAE_Hors_sous_projet[[#This Row],[Rôle ou catégorie]]="","",IFERROR(INDEX(Referentiel[[Service]],MATCH(RAE_Hors_sous_projet[[#This Row],[Rôle ou catégorie]],Referentiel[[Entrée]],0)),"?")&amp;"")</f>
        <v>0</v>
      </c>
      <c r="M18" s="15">
        <f>IF(RAE_Hors_sous_projet[[#This Row],[Rôle ou catégorie]]="","",IFERROR(INDEX(Referentiel[[Taux horaire]],MATCH(RAE_Hors_sous_projet[[#This Row],[Rôle ou catégorie]],Referentiel[[Entrée]],0)),"?"))</f>
        <v>0</v>
      </c>
      <c r="N18" s="16">
        <f>IF(RAE_Hors_sous_projet[[#This Row],[Rôle ou catégorie]]="","",IF(RAE_Hors_sous_projet[[#This Row],[Type]]="Main-d’œuvre",N(RAE_Hors_sous_projet[[#This Row],[Jours restants]])*HeuresParJour*RAE_Hors_sous_projet[[#This Row],[Taux horaire]]*RAE_Hors_sous_projet[[#This Row],[Coefficient]],0))</f>
        <v>0</v>
      </c>
      <c r="O18" s="16">
        <f>IF(RAE_Hors_sous_projet[[#This Row],[Rôle ou catégorie]]="","",IF(RAE_Hors_sous_projet[[#This Row],[Type]]="Hors main-d’œuvre",N(RAE_Hors_sous_projet[[#This Row],[Débours restant]]),0))</f>
        <v>0</v>
      </c>
      <c r="P18" s="16">
        <f>IF(RAE_Hors_sous_projet[[#This Row],[Rôle ou catégorie]]="","",RAE_Hors_sous_projet[[#This Row],[Main-d’œuvre]]+RAE_Hors_sous_projet[[#This Row],[Débours]])</f>
        <v>0</v>
      </c>
      <c r="Q18" s="15">
        <f>IF(RAE_Hors_sous_projet[[#This Row],[Rôle ou catégorie]]="","",IFERROR(INDEX(Referentiel[[Type de nature]],MATCH(RAE_Hors_sous_projet[[#This Row],[Rôle ou catégorie]],Referentiel[[Entrée]],0)),"?"))</f>
        <v>0</v>
      </c>
      <c r="R18" s="15">
        <f>IFERROR(INDEX(Taches[[Coefficient]],MATCH(RAE_Hors_sous_projet[[#This Row],[Tâche]],Taches[[Entrée]],0)),1)</f>
        <v>0</v>
      </c>
      <c r="S18" s="15"/>
    </row>
    <row r="19" spans="1:19">
      <c r="A19" s="14"/>
      <c r="B19" s="15">
        <f>IF(RAE_Hors_sous_projet[[#This Row],[Tâche]]="","",IFERROR(INDEX(Taches[[Description]],MATCH(RAE_Hors_sous_projet[[#This Row],[Tâche]],Taches[[Entrée]],0)),""))</f>
        <v>0</v>
      </c>
      <c r="C19" s="15">
        <f>IF(RAE_Hors_sous_projet[[#This Row],[Tâche]]="","",IFERROR(INDEX(Taches[[État]],MATCH(RAE_Hors_sous_projet[[#This Row],[Tâche]],Taches[[Entrée]],0)),""))</f>
        <v>0</v>
      </c>
      <c r="D19" s="14"/>
      <c r="E19" s="14"/>
      <c r="F19" s="16"/>
      <c r="G19" s="16"/>
      <c r="H19" s="8"/>
      <c r="I19" s="6"/>
      <c r="J19" s="15">
        <f>IF(RAE_Hors_sous_projet[[#This Row],[Rôle ou catégorie]]="","",IFERROR(INDEX(Referentiel[[Nature]],MATCH(RAE_Hors_sous_projet[[#This Row],[Rôle ou catégorie]],Referentiel[[Entrée]],0)),"?"))</f>
        <v>0</v>
      </c>
      <c r="K19" s="15">
        <f>IF(RAE_Hors_sous_projet[[#This Row],[Rôle ou catégorie]]="","",IFERROR(INDEX(Referentiel[[Code comptable]],MATCH(RAE_Hors_sous_projet[[#This Row],[Rôle ou catégorie]],Referentiel[[Entrée]],0)),"?"))</f>
        <v>0</v>
      </c>
      <c r="L19" s="15">
        <f>IF(RAE_Hors_sous_projet[[#This Row],[Rôle ou catégorie]]="","",IFERROR(INDEX(Referentiel[[Service]],MATCH(RAE_Hors_sous_projet[[#This Row],[Rôle ou catégorie]],Referentiel[[Entrée]],0)),"?")&amp;"")</f>
        <v>0</v>
      </c>
      <c r="M19" s="15">
        <f>IF(RAE_Hors_sous_projet[[#This Row],[Rôle ou catégorie]]="","",IFERROR(INDEX(Referentiel[[Taux horaire]],MATCH(RAE_Hors_sous_projet[[#This Row],[Rôle ou catégorie]],Referentiel[[Entrée]],0)),"?"))</f>
        <v>0</v>
      </c>
      <c r="N19" s="16">
        <f>IF(RAE_Hors_sous_projet[[#This Row],[Rôle ou catégorie]]="","",IF(RAE_Hors_sous_projet[[#This Row],[Type]]="Main-d’œuvre",N(RAE_Hors_sous_projet[[#This Row],[Jours restants]])*HeuresParJour*RAE_Hors_sous_projet[[#This Row],[Taux horaire]]*RAE_Hors_sous_projet[[#This Row],[Coefficient]],0))</f>
        <v>0</v>
      </c>
      <c r="O19" s="16">
        <f>IF(RAE_Hors_sous_projet[[#This Row],[Rôle ou catégorie]]="","",IF(RAE_Hors_sous_projet[[#This Row],[Type]]="Hors main-d’œuvre",N(RAE_Hors_sous_projet[[#This Row],[Débours restant]]),0))</f>
        <v>0</v>
      </c>
      <c r="P19" s="16">
        <f>IF(RAE_Hors_sous_projet[[#This Row],[Rôle ou catégorie]]="","",RAE_Hors_sous_projet[[#This Row],[Main-d’œuvre]]+RAE_Hors_sous_projet[[#This Row],[Débours]])</f>
        <v>0</v>
      </c>
      <c r="Q19" s="15">
        <f>IF(RAE_Hors_sous_projet[[#This Row],[Rôle ou catégorie]]="","",IFERROR(INDEX(Referentiel[[Type de nature]],MATCH(RAE_Hors_sous_projet[[#This Row],[Rôle ou catégorie]],Referentiel[[Entrée]],0)),"?"))</f>
        <v>0</v>
      </c>
      <c r="R19" s="15">
        <f>IFERROR(INDEX(Taches[[Coefficient]],MATCH(RAE_Hors_sous_projet[[#This Row],[Tâche]],Taches[[Entrée]],0)),1)</f>
        <v>0</v>
      </c>
      <c r="S19" s="15"/>
    </row>
    <row r="20" spans="1:19">
      <c r="A20" s="14"/>
      <c r="B20" s="15">
        <f>IF(RAE_Hors_sous_projet[[#This Row],[Tâche]]="","",IFERROR(INDEX(Taches[[Description]],MATCH(RAE_Hors_sous_projet[[#This Row],[Tâche]],Taches[[Entrée]],0)),""))</f>
        <v>0</v>
      </c>
      <c r="C20" s="15">
        <f>IF(RAE_Hors_sous_projet[[#This Row],[Tâche]]="","",IFERROR(INDEX(Taches[[État]],MATCH(RAE_Hors_sous_projet[[#This Row],[Tâche]],Taches[[Entrée]],0)),""))</f>
        <v>0</v>
      </c>
      <c r="D20" s="14"/>
      <c r="E20" s="14"/>
      <c r="F20" s="16"/>
      <c r="G20" s="16"/>
      <c r="H20" s="8"/>
      <c r="I20" s="6"/>
      <c r="J20" s="15">
        <f>IF(RAE_Hors_sous_projet[[#This Row],[Rôle ou catégorie]]="","",IFERROR(INDEX(Referentiel[[Nature]],MATCH(RAE_Hors_sous_projet[[#This Row],[Rôle ou catégorie]],Referentiel[[Entrée]],0)),"?"))</f>
        <v>0</v>
      </c>
      <c r="K20" s="15">
        <f>IF(RAE_Hors_sous_projet[[#This Row],[Rôle ou catégorie]]="","",IFERROR(INDEX(Referentiel[[Code comptable]],MATCH(RAE_Hors_sous_projet[[#This Row],[Rôle ou catégorie]],Referentiel[[Entrée]],0)),"?"))</f>
        <v>0</v>
      </c>
      <c r="L20" s="15">
        <f>IF(RAE_Hors_sous_projet[[#This Row],[Rôle ou catégorie]]="","",IFERROR(INDEX(Referentiel[[Service]],MATCH(RAE_Hors_sous_projet[[#This Row],[Rôle ou catégorie]],Referentiel[[Entrée]],0)),"?")&amp;"")</f>
        <v>0</v>
      </c>
      <c r="M20" s="15">
        <f>IF(RAE_Hors_sous_projet[[#This Row],[Rôle ou catégorie]]="","",IFERROR(INDEX(Referentiel[[Taux horaire]],MATCH(RAE_Hors_sous_projet[[#This Row],[Rôle ou catégorie]],Referentiel[[Entrée]],0)),"?"))</f>
        <v>0</v>
      </c>
      <c r="N20" s="16">
        <f>IF(RAE_Hors_sous_projet[[#This Row],[Rôle ou catégorie]]="","",IF(RAE_Hors_sous_projet[[#This Row],[Type]]="Main-d’œuvre",N(RAE_Hors_sous_projet[[#This Row],[Jours restants]])*HeuresParJour*RAE_Hors_sous_projet[[#This Row],[Taux horaire]]*RAE_Hors_sous_projet[[#This Row],[Coefficient]],0))</f>
        <v>0</v>
      </c>
      <c r="O20" s="16">
        <f>IF(RAE_Hors_sous_projet[[#This Row],[Rôle ou catégorie]]="","",IF(RAE_Hors_sous_projet[[#This Row],[Type]]="Hors main-d’œuvre",N(RAE_Hors_sous_projet[[#This Row],[Débours restant]]),0))</f>
        <v>0</v>
      </c>
      <c r="P20" s="16">
        <f>IF(RAE_Hors_sous_projet[[#This Row],[Rôle ou catégorie]]="","",RAE_Hors_sous_projet[[#This Row],[Main-d’œuvre]]+RAE_Hors_sous_projet[[#This Row],[Débours]])</f>
        <v>0</v>
      </c>
      <c r="Q20" s="15">
        <f>IF(RAE_Hors_sous_projet[[#This Row],[Rôle ou catégorie]]="","",IFERROR(INDEX(Referentiel[[Type de nature]],MATCH(RAE_Hors_sous_projet[[#This Row],[Rôle ou catégorie]],Referentiel[[Entrée]],0)),"?"))</f>
        <v>0</v>
      </c>
      <c r="R20" s="15">
        <f>IFERROR(INDEX(Taches[[Coefficient]],MATCH(RAE_Hors_sous_projet[[#This Row],[Tâche]],Taches[[Entrée]],0)),1)</f>
        <v>0</v>
      </c>
      <c r="S20" s="15"/>
    </row>
    <row r="21" spans="1:19">
      <c r="A21" s="14"/>
      <c r="B21" s="15">
        <f>IF(RAE_Hors_sous_projet[[#This Row],[Tâche]]="","",IFERROR(INDEX(Taches[[Description]],MATCH(RAE_Hors_sous_projet[[#This Row],[Tâche]],Taches[[Entrée]],0)),""))</f>
        <v>0</v>
      </c>
      <c r="C21" s="15">
        <f>IF(RAE_Hors_sous_projet[[#This Row],[Tâche]]="","",IFERROR(INDEX(Taches[[État]],MATCH(RAE_Hors_sous_projet[[#This Row],[Tâche]],Taches[[Entrée]],0)),""))</f>
        <v>0</v>
      </c>
      <c r="D21" s="14"/>
      <c r="E21" s="14"/>
      <c r="F21" s="16"/>
      <c r="G21" s="16"/>
      <c r="H21" s="8"/>
      <c r="I21" s="6"/>
      <c r="J21" s="15">
        <f>IF(RAE_Hors_sous_projet[[#This Row],[Rôle ou catégorie]]="","",IFERROR(INDEX(Referentiel[[Nature]],MATCH(RAE_Hors_sous_projet[[#This Row],[Rôle ou catégorie]],Referentiel[[Entrée]],0)),"?"))</f>
        <v>0</v>
      </c>
      <c r="K21" s="15">
        <f>IF(RAE_Hors_sous_projet[[#This Row],[Rôle ou catégorie]]="","",IFERROR(INDEX(Referentiel[[Code comptable]],MATCH(RAE_Hors_sous_projet[[#This Row],[Rôle ou catégorie]],Referentiel[[Entrée]],0)),"?"))</f>
        <v>0</v>
      </c>
      <c r="L21" s="15">
        <f>IF(RAE_Hors_sous_projet[[#This Row],[Rôle ou catégorie]]="","",IFERROR(INDEX(Referentiel[[Service]],MATCH(RAE_Hors_sous_projet[[#This Row],[Rôle ou catégorie]],Referentiel[[Entrée]],0)),"?")&amp;"")</f>
        <v>0</v>
      </c>
      <c r="M21" s="15">
        <f>IF(RAE_Hors_sous_projet[[#This Row],[Rôle ou catégorie]]="","",IFERROR(INDEX(Referentiel[[Taux horaire]],MATCH(RAE_Hors_sous_projet[[#This Row],[Rôle ou catégorie]],Referentiel[[Entrée]],0)),"?"))</f>
        <v>0</v>
      </c>
      <c r="N21" s="16">
        <f>IF(RAE_Hors_sous_projet[[#This Row],[Rôle ou catégorie]]="","",IF(RAE_Hors_sous_projet[[#This Row],[Type]]="Main-d’œuvre",N(RAE_Hors_sous_projet[[#This Row],[Jours restants]])*HeuresParJour*RAE_Hors_sous_projet[[#This Row],[Taux horaire]]*RAE_Hors_sous_projet[[#This Row],[Coefficient]],0))</f>
        <v>0</v>
      </c>
      <c r="O21" s="16">
        <f>IF(RAE_Hors_sous_projet[[#This Row],[Rôle ou catégorie]]="","",IF(RAE_Hors_sous_projet[[#This Row],[Type]]="Hors main-d’œuvre",N(RAE_Hors_sous_projet[[#This Row],[Débours restant]]),0))</f>
        <v>0</v>
      </c>
      <c r="P21" s="16">
        <f>IF(RAE_Hors_sous_projet[[#This Row],[Rôle ou catégorie]]="","",RAE_Hors_sous_projet[[#This Row],[Main-d’œuvre]]+RAE_Hors_sous_projet[[#This Row],[Débours]])</f>
        <v>0</v>
      </c>
      <c r="Q21" s="15">
        <f>IF(RAE_Hors_sous_projet[[#This Row],[Rôle ou catégorie]]="","",IFERROR(INDEX(Referentiel[[Type de nature]],MATCH(RAE_Hors_sous_projet[[#This Row],[Rôle ou catégorie]],Referentiel[[Entrée]],0)),"?"))</f>
        <v>0</v>
      </c>
      <c r="R21" s="15">
        <f>IFERROR(INDEX(Taches[[Coefficient]],MATCH(RAE_Hors_sous_projet[[#This Row],[Tâche]],Taches[[Entrée]],0)),1)</f>
        <v>0</v>
      </c>
      <c r="S21" s="15"/>
    </row>
    <row r="22" spans="1:19">
      <c r="A22" s="14"/>
      <c r="B22" s="15">
        <f>IF(RAE_Hors_sous_projet[[#This Row],[Tâche]]="","",IFERROR(INDEX(Taches[[Description]],MATCH(RAE_Hors_sous_projet[[#This Row],[Tâche]],Taches[[Entrée]],0)),""))</f>
        <v>0</v>
      </c>
      <c r="C22" s="15">
        <f>IF(RAE_Hors_sous_projet[[#This Row],[Tâche]]="","",IFERROR(INDEX(Taches[[État]],MATCH(RAE_Hors_sous_projet[[#This Row],[Tâche]],Taches[[Entrée]],0)),""))</f>
        <v>0</v>
      </c>
      <c r="D22" s="14"/>
      <c r="E22" s="14"/>
      <c r="F22" s="16"/>
      <c r="G22" s="16"/>
      <c r="H22" s="8"/>
      <c r="I22" s="6"/>
      <c r="J22" s="15">
        <f>IF(RAE_Hors_sous_projet[[#This Row],[Rôle ou catégorie]]="","",IFERROR(INDEX(Referentiel[[Nature]],MATCH(RAE_Hors_sous_projet[[#This Row],[Rôle ou catégorie]],Referentiel[[Entrée]],0)),"?"))</f>
        <v>0</v>
      </c>
      <c r="K22" s="15">
        <f>IF(RAE_Hors_sous_projet[[#This Row],[Rôle ou catégorie]]="","",IFERROR(INDEX(Referentiel[[Code comptable]],MATCH(RAE_Hors_sous_projet[[#This Row],[Rôle ou catégorie]],Referentiel[[Entrée]],0)),"?"))</f>
        <v>0</v>
      </c>
      <c r="L22" s="15">
        <f>IF(RAE_Hors_sous_projet[[#This Row],[Rôle ou catégorie]]="","",IFERROR(INDEX(Referentiel[[Service]],MATCH(RAE_Hors_sous_projet[[#This Row],[Rôle ou catégorie]],Referentiel[[Entrée]],0)),"?")&amp;"")</f>
        <v>0</v>
      </c>
      <c r="M22" s="15">
        <f>IF(RAE_Hors_sous_projet[[#This Row],[Rôle ou catégorie]]="","",IFERROR(INDEX(Referentiel[[Taux horaire]],MATCH(RAE_Hors_sous_projet[[#This Row],[Rôle ou catégorie]],Referentiel[[Entrée]],0)),"?"))</f>
        <v>0</v>
      </c>
      <c r="N22" s="16">
        <f>IF(RAE_Hors_sous_projet[[#This Row],[Rôle ou catégorie]]="","",IF(RAE_Hors_sous_projet[[#This Row],[Type]]="Main-d’œuvre",N(RAE_Hors_sous_projet[[#This Row],[Jours restants]])*HeuresParJour*RAE_Hors_sous_projet[[#This Row],[Taux horaire]]*RAE_Hors_sous_projet[[#This Row],[Coefficient]],0))</f>
        <v>0</v>
      </c>
      <c r="O22" s="16">
        <f>IF(RAE_Hors_sous_projet[[#This Row],[Rôle ou catégorie]]="","",IF(RAE_Hors_sous_projet[[#This Row],[Type]]="Hors main-d’œuvre",N(RAE_Hors_sous_projet[[#This Row],[Débours restant]]),0))</f>
        <v>0</v>
      </c>
      <c r="P22" s="16">
        <f>IF(RAE_Hors_sous_projet[[#This Row],[Rôle ou catégorie]]="","",RAE_Hors_sous_projet[[#This Row],[Main-d’œuvre]]+RAE_Hors_sous_projet[[#This Row],[Débours]])</f>
        <v>0</v>
      </c>
      <c r="Q22" s="15">
        <f>IF(RAE_Hors_sous_projet[[#This Row],[Rôle ou catégorie]]="","",IFERROR(INDEX(Referentiel[[Type de nature]],MATCH(RAE_Hors_sous_projet[[#This Row],[Rôle ou catégorie]],Referentiel[[Entrée]],0)),"?"))</f>
        <v>0</v>
      </c>
      <c r="R22" s="15">
        <f>IFERROR(INDEX(Taches[[Coefficient]],MATCH(RAE_Hors_sous_projet[[#This Row],[Tâche]],Taches[[Entrée]],0)),1)</f>
        <v>0</v>
      </c>
      <c r="S22" s="15"/>
    </row>
    <row r="23" spans="1:19">
      <c r="A23" s="14"/>
      <c r="B23" s="15">
        <f>IF(RAE_Hors_sous_projet[[#This Row],[Tâche]]="","",IFERROR(INDEX(Taches[[Description]],MATCH(RAE_Hors_sous_projet[[#This Row],[Tâche]],Taches[[Entrée]],0)),""))</f>
        <v>0</v>
      </c>
      <c r="C23" s="15">
        <f>IF(RAE_Hors_sous_projet[[#This Row],[Tâche]]="","",IFERROR(INDEX(Taches[[État]],MATCH(RAE_Hors_sous_projet[[#This Row],[Tâche]],Taches[[Entrée]],0)),""))</f>
        <v>0</v>
      </c>
      <c r="D23" s="14"/>
      <c r="E23" s="14"/>
      <c r="F23" s="16"/>
      <c r="G23" s="16"/>
      <c r="H23" s="8"/>
      <c r="I23" s="6"/>
      <c r="J23" s="15">
        <f>IF(RAE_Hors_sous_projet[[#This Row],[Rôle ou catégorie]]="","",IFERROR(INDEX(Referentiel[[Nature]],MATCH(RAE_Hors_sous_projet[[#This Row],[Rôle ou catégorie]],Referentiel[[Entrée]],0)),"?"))</f>
        <v>0</v>
      </c>
      <c r="K23" s="15">
        <f>IF(RAE_Hors_sous_projet[[#This Row],[Rôle ou catégorie]]="","",IFERROR(INDEX(Referentiel[[Code comptable]],MATCH(RAE_Hors_sous_projet[[#This Row],[Rôle ou catégorie]],Referentiel[[Entrée]],0)),"?"))</f>
        <v>0</v>
      </c>
      <c r="L23" s="15">
        <f>IF(RAE_Hors_sous_projet[[#This Row],[Rôle ou catégorie]]="","",IFERROR(INDEX(Referentiel[[Service]],MATCH(RAE_Hors_sous_projet[[#This Row],[Rôle ou catégorie]],Referentiel[[Entrée]],0)),"?")&amp;"")</f>
        <v>0</v>
      </c>
      <c r="M23" s="15">
        <f>IF(RAE_Hors_sous_projet[[#This Row],[Rôle ou catégorie]]="","",IFERROR(INDEX(Referentiel[[Taux horaire]],MATCH(RAE_Hors_sous_projet[[#This Row],[Rôle ou catégorie]],Referentiel[[Entrée]],0)),"?"))</f>
        <v>0</v>
      </c>
      <c r="N23" s="16">
        <f>IF(RAE_Hors_sous_projet[[#This Row],[Rôle ou catégorie]]="","",IF(RAE_Hors_sous_projet[[#This Row],[Type]]="Main-d’œuvre",N(RAE_Hors_sous_projet[[#This Row],[Jours restants]])*HeuresParJour*RAE_Hors_sous_projet[[#This Row],[Taux horaire]]*RAE_Hors_sous_projet[[#This Row],[Coefficient]],0))</f>
        <v>0</v>
      </c>
      <c r="O23" s="16">
        <f>IF(RAE_Hors_sous_projet[[#This Row],[Rôle ou catégorie]]="","",IF(RAE_Hors_sous_projet[[#This Row],[Type]]="Hors main-d’œuvre",N(RAE_Hors_sous_projet[[#This Row],[Débours restant]]),0))</f>
        <v>0</v>
      </c>
      <c r="P23" s="16">
        <f>IF(RAE_Hors_sous_projet[[#This Row],[Rôle ou catégorie]]="","",RAE_Hors_sous_projet[[#This Row],[Main-d’œuvre]]+RAE_Hors_sous_projet[[#This Row],[Débours]])</f>
        <v>0</v>
      </c>
      <c r="Q23" s="15">
        <f>IF(RAE_Hors_sous_projet[[#This Row],[Rôle ou catégorie]]="","",IFERROR(INDEX(Referentiel[[Type de nature]],MATCH(RAE_Hors_sous_projet[[#This Row],[Rôle ou catégorie]],Referentiel[[Entrée]],0)),"?"))</f>
        <v>0</v>
      </c>
      <c r="R23" s="15">
        <f>IFERROR(INDEX(Taches[[Coefficient]],MATCH(RAE_Hors_sous_projet[[#This Row],[Tâche]],Taches[[Entrée]],0)),1)</f>
        <v>0</v>
      </c>
      <c r="S23" s="15"/>
    </row>
    <row r="24" spans="1:19">
      <c r="A24" s="14"/>
      <c r="B24" s="15">
        <f>IF(RAE_Hors_sous_projet[[#This Row],[Tâche]]="","",IFERROR(INDEX(Taches[[Description]],MATCH(RAE_Hors_sous_projet[[#This Row],[Tâche]],Taches[[Entrée]],0)),""))</f>
        <v>0</v>
      </c>
      <c r="C24" s="15">
        <f>IF(RAE_Hors_sous_projet[[#This Row],[Tâche]]="","",IFERROR(INDEX(Taches[[État]],MATCH(RAE_Hors_sous_projet[[#This Row],[Tâche]],Taches[[Entrée]],0)),""))</f>
        <v>0</v>
      </c>
      <c r="D24" s="14"/>
      <c r="E24" s="14"/>
      <c r="F24" s="16"/>
      <c r="G24" s="16"/>
      <c r="H24" s="8"/>
      <c r="I24" s="6"/>
      <c r="J24" s="15">
        <f>IF(RAE_Hors_sous_projet[[#This Row],[Rôle ou catégorie]]="","",IFERROR(INDEX(Referentiel[[Nature]],MATCH(RAE_Hors_sous_projet[[#This Row],[Rôle ou catégorie]],Referentiel[[Entrée]],0)),"?"))</f>
        <v>0</v>
      </c>
      <c r="K24" s="15">
        <f>IF(RAE_Hors_sous_projet[[#This Row],[Rôle ou catégorie]]="","",IFERROR(INDEX(Referentiel[[Code comptable]],MATCH(RAE_Hors_sous_projet[[#This Row],[Rôle ou catégorie]],Referentiel[[Entrée]],0)),"?"))</f>
        <v>0</v>
      </c>
      <c r="L24" s="15">
        <f>IF(RAE_Hors_sous_projet[[#This Row],[Rôle ou catégorie]]="","",IFERROR(INDEX(Referentiel[[Service]],MATCH(RAE_Hors_sous_projet[[#This Row],[Rôle ou catégorie]],Referentiel[[Entrée]],0)),"?")&amp;"")</f>
        <v>0</v>
      </c>
      <c r="M24" s="15">
        <f>IF(RAE_Hors_sous_projet[[#This Row],[Rôle ou catégorie]]="","",IFERROR(INDEX(Referentiel[[Taux horaire]],MATCH(RAE_Hors_sous_projet[[#This Row],[Rôle ou catégorie]],Referentiel[[Entrée]],0)),"?"))</f>
        <v>0</v>
      </c>
      <c r="N24" s="16">
        <f>IF(RAE_Hors_sous_projet[[#This Row],[Rôle ou catégorie]]="","",IF(RAE_Hors_sous_projet[[#This Row],[Type]]="Main-d’œuvre",N(RAE_Hors_sous_projet[[#This Row],[Jours restants]])*HeuresParJour*RAE_Hors_sous_projet[[#This Row],[Taux horaire]]*RAE_Hors_sous_projet[[#This Row],[Coefficient]],0))</f>
        <v>0</v>
      </c>
      <c r="O24" s="16">
        <f>IF(RAE_Hors_sous_projet[[#This Row],[Rôle ou catégorie]]="","",IF(RAE_Hors_sous_projet[[#This Row],[Type]]="Hors main-d’œuvre",N(RAE_Hors_sous_projet[[#This Row],[Débours restant]]),0))</f>
        <v>0</v>
      </c>
      <c r="P24" s="16">
        <f>IF(RAE_Hors_sous_projet[[#This Row],[Rôle ou catégorie]]="","",RAE_Hors_sous_projet[[#This Row],[Main-d’œuvre]]+RAE_Hors_sous_projet[[#This Row],[Débours]])</f>
        <v>0</v>
      </c>
      <c r="Q24" s="15">
        <f>IF(RAE_Hors_sous_projet[[#This Row],[Rôle ou catégorie]]="","",IFERROR(INDEX(Referentiel[[Type de nature]],MATCH(RAE_Hors_sous_projet[[#This Row],[Rôle ou catégorie]],Referentiel[[Entrée]],0)),"?"))</f>
        <v>0</v>
      </c>
      <c r="R24" s="15">
        <f>IFERROR(INDEX(Taches[[Coefficient]],MATCH(RAE_Hors_sous_projet[[#This Row],[Tâche]],Taches[[Entrée]],0)),1)</f>
        <v>0</v>
      </c>
      <c r="S24" s="15"/>
    </row>
    <row r="25" spans="1:19">
      <c r="A25" s="14"/>
      <c r="B25" s="15">
        <f>IF(RAE_Hors_sous_projet[[#This Row],[Tâche]]="","",IFERROR(INDEX(Taches[[Description]],MATCH(RAE_Hors_sous_projet[[#This Row],[Tâche]],Taches[[Entrée]],0)),""))</f>
        <v>0</v>
      </c>
      <c r="C25" s="15">
        <f>IF(RAE_Hors_sous_projet[[#This Row],[Tâche]]="","",IFERROR(INDEX(Taches[[État]],MATCH(RAE_Hors_sous_projet[[#This Row],[Tâche]],Taches[[Entrée]],0)),""))</f>
        <v>0</v>
      </c>
      <c r="D25" s="14"/>
      <c r="E25" s="14"/>
      <c r="F25" s="16"/>
      <c r="G25" s="16"/>
      <c r="H25" s="8"/>
      <c r="I25" s="6"/>
      <c r="J25" s="15">
        <f>IF(RAE_Hors_sous_projet[[#This Row],[Rôle ou catégorie]]="","",IFERROR(INDEX(Referentiel[[Nature]],MATCH(RAE_Hors_sous_projet[[#This Row],[Rôle ou catégorie]],Referentiel[[Entrée]],0)),"?"))</f>
        <v>0</v>
      </c>
      <c r="K25" s="15">
        <f>IF(RAE_Hors_sous_projet[[#This Row],[Rôle ou catégorie]]="","",IFERROR(INDEX(Referentiel[[Code comptable]],MATCH(RAE_Hors_sous_projet[[#This Row],[Rôle ou catégorie]],Referentiel[[Entrée]],0)),"?"))</f>
        <v>0</v>
      </c>
      <c r="L25" s="15">
        <f>IF(RAE_Hors_sous_projet[[#This Row],[Rôle ou catégorie]]="","",IFERROR(INDEX(Referentiel[[Service]],MATCH(RAE_Hors_sous_projet[[#This Row],[Rôle ou catégorie]],Referentiel[[Entrée]],0)),"?")&amp;"")</f>
        <v>0</v>
      </c>
      <c r="M25" s="15">
        <f>IF(RAE_Hors_sous_projet[[#This Row],[Rôle ou catégorie]]="","",IFERROR(INDEX(Referentiel[[Taux horaire]],MATCH(RAE_Hors_sous_projet[[#This Row],[Rôle ou catégorie]],Referentiel[[Entrée]],0)),"?"))</f>
        <v>0</v>
      </c>
      <c r="N25" s="16">
        <f>IF(RAE_Hors_sous_projet[[#This Row],[Rôle ou catégorie]]="","",IF(RAE_Hors_sous_projet[[#This Row],[Type]]="Main-d’œuvre",N(RAE_Hors_sous_projet[[#This Row],[Jours restants]])*HeuresParJour*RAE_Hors_sous_projet[[#This Row],[Taux horaire]]*RAE_Hors_sous_projet[[#This Row],[Coefficient]],0))</f>
        <v>0</v>
      </c>
      <c r="O25" s="16">
        <f>IF(RAE_Hors_sous_projet[[#This Row],[Rôle ou catégorie]]="","",IF(RAE_Hors_sous_projet[[#This Row],[Type]]="Hors main-d’œuvre",N(RAE_Hors_sous_projet[[#This Row],[Débours restant]]),0))</f>
        <v>0</v>
      </c>
      <c r="P25" s="16">
        <f>IF(RAE_Hors_sous_projet[[#This Row],[Rôle ou catégorie]]="","",RAE_Hors_sous_projet[[#This Row],[Main-d’œuvre]]+RAE_Hors_sous_projet[[#This Row],[Débours]])</f>
        <v>0</v>
      </c>
      <c r="Q25" s="15">
        <f>IF(RAE_Hors_sous_projet[[#This Row],[Rôle ou catégorie]]="","",IFERROR(INDEX(Referentiel[[Type de nature]],MATCH(RAE_Hors_sous_projet[[#This Row],[Rôle ou catégorie]],Referentiel[[Entrée]],0)),"?"))</f>
        <v>0</v>
      </c>
      <c r="R25" s="15">
        <f>IFERROR(INDEX(Taches[[Coefficient]],MATCH(RAE_Hors_sous_projet[[#This Row],[Tâche]],Taches[[Entrée]],0)),1)</f>
        <v>0</v>
      </c>
      <c r="S25" s="15"/>
    </row>
    <row r="26" spans="1:19">
      <c r="A26" s="14"/>
      <c r="B26" s="15">
        <f>IF(RAE_Hors_sous_projet[[#This Row],[Tâche]]="","",IFERROR(INDEX(Taches[[Description]],MATCH(RAE_Hors_sous_projet[[#This Row],[Tâche]],Taches[[Entrée]],0)),""))</f>
        <v>0</v>
      </c>
      <c r="C26" s="15">
        <f>IF(RAE_Hors_sous_projet[[#This Row],[Tâche]]="","",IFERROR(INDEX(Taches[[État]],MATCH(RAE_Hors_sous_projet[[#This Row],[Tâche]],Taches[[Entrée]],0)),""))</f>
        <v>0</v>
      </c>
      <c r="D26" s="14"/>
      <c r="E26" s="14"/>
      <c r="F26" s="16"/>
      <c r="G26" s="16"/>
      <c r="H26" s="8"/>
      <c r="I26" s="6"/>
      <c r="J26" s="15">
        <f>IF(RAE_Hors_sous_projet[[#This Row],[Rôle ou catégorie]]="","",IFERROR(INDEX(Referentiel[[Nature]],MATCH(RAE_Hors_sous_projet[[#This Row],[Rôle ou catégorie]],Referentiel[[Entrée]],0)),"?"))</f>
        <v>0</v>
      </c>
      <c r="K26" s="15">
        <f>IF(RAE_Hors_sous_projet[[#This Row],[Rôle ou catégorie]]="","",IFERROR(INDEX(Referentiel[[Code comptable]],MATCH(RAE_Hors_sous_projet[[#This Row],[Rôle ou catégorie]],Referentiel[[Entrée]],0)),"?"))</f>
        <v>0</v>
      </c>
      <c r="L26" s="15">
        <f>IF(RAE_Hors_sous_projet[[#This Row],[Rôle ou catégorie]]="","",IFERROR(INDEX(Referentiel[[Service]],MATCH(RAE_Hors_sous_projet[[#This Row],[Rôle ou catégorie]],Referentiel[[Entrée]],0)),"?")&amp;"")</f>
        <v>0</v>
      </c>
      <c r="M26" s="15">
        <f>IF(RAE_Hors_sous_projet[[#This Row],[Rôle ou catégorie]]="","",IFERROR(INDEX(Referentiel[[Taux horaire]],MATCH(RAE_Hors_sous_projet[[#This Row],[Rôle ou catégorie]],Referentiel[[Entrée]],0)),"?"))</f>
        <v>0</v>
      </c>
      <c r="N26" s="16">
        <f>IF(RAE_Hors_sous_projet[[#This Row],[Rôle ou catégorie]]="","",IF(RAE_Hors_sous_projet[[#This Row],[Type]]="Main-d’œuvre",N(RAE_Hors_sous_projet[[#This Row],[Jours restants]])*HeuresParJour*RAE_Hors_sous_projet[[#This Row],[Taux horaire]]*RAE_Hors_sous_projet[[#This Row],[Coefficient]],0))</f>
        <v>0</v>
      </c>
      <c r="O26" s="16">
        <f>IF(RAE_Hors_sous_projet[[#This Row],[Rôle ou catégorie]]="","",IF(RAE_Hors_sous_projet[[#This Row],[Type]]="Hors main-d’œuvre",N(RAE_Hors_sous_projet[[#This Row],[Débours restant]]),0))</f>
        <v>0</v>
      </c>
      <c r="P26" s="16">
        <f>IF(RAE_Hors_sous_projet[[#This Row],[Rôle ou catégorie]]="","",RAE_Hors_sous_projet[[#This Row],[Main-d’œuvre]]+RAE_Hors_sous_projet[[#This Row],[Débours]])</f>
        <v>0</v>
      </c>
      <c r="Q26" s="15">
        <f>IF(RAE_Hors_sous_projet[[#This Row],[Rôle ou catégorie]]="","",IFERROR(INDEX(Referentiel[[Type de nature]],MATCH(RAE_Hors_sous_projet[[#This Row],[Rôle ou catégorie]],Referentiel[[Entrée]],0)),"?"))</f>
        <v>0</v>
      </c>
      <c r="R26" s="15">
        <f>IFERROR(INDEX(Taches[[Coefficient]],MATCH(RAE_Hors_sous_projet[[#This Row],[Tâche]],Taches[[Entrée]],0)),1)</f>
        <v>0</v>
      </c>
      <c r="S26" s="15"/>
    </row>
    <row r="27" spans="1:19">
      <c r="A27" s="14" t="s">
        <v>90</v>
      </c>
      <c r="F27" s="16">
        <f>SUBTOTAL(109,RAE_Hors_sous_projet[[Budget]])</f>
        <v>0</v>
      </c>
      <c r="G27" s="16">
        <f>SUBTOTAL(109,RAE_Hors_sous_projet[[Reste précédent]])</f>
        <v>0</v>
      </c>
      <c r="H27" s="8">
        <f>SUBTOTAL(109,RAE_Hors_sous_projet[[Jours restants]])</f>
        <v>0</v>
      </c>
      <c r="I27" s="6">
        <f>SUBTOTAL(109,RAE_Hors_sous_projet[[Débours restant]])</f>
        <v>0</v>
      </c>
      <c r="N27" s="16">
        <f>SUBTOTAL(109,RAE_Hors_sous_projet[[Main-d’œuvre]])</f>
        <v>0</v>
      </c>
      <c r="O27" s="16">
        <f>SUBTOTAL(109,RAE_Hors_sous_projet[[Débours]])</f>
        <v>0</v>
      </c>
      <c r="P27" s="16">
        <f>SUBTOTAL(109,RAE_Hors_sous_projet[[Reste à engager]])</f>
        <v>0</v>
      </c>
    </row>
    <row r="29" spans="1:19">
      <c r="A29" s="12" t="s">
        <v>110</v>
      </c>
    </row>
    <row r="30" spans="1:19">
      <c r="A30" s="13" t="s">
        <v>111</v>
      </c>
    </row>
  </sheetData>
  <mergeCells count="1">
    <mergeCell ref="H14:I14"/>
  </mergeCells>
  <dataValidations count="4">
    <dataValidation type="list" allowBlank="1" showInputMessage="1" showErrorMessage="1" error="Choisis une tâche non terminée du sous-projet (onglet Tâches)." sqref="A16:A415">
      <formula1>'Tâches'!$A$10:$A$10</formula1>
    </dataValidation>
    <dataValidation type="list" allowBlank="1" showInputMessage="1" showErrorMessage="1" error="Choisis un rôle ou une catégorie du référentiel (onglet Paramètres)." sqref="D16:D415">
      <formula1>'Paramètres'!$A$5:$A$13</formula1>
    </dataValidation>
    <dataValidation type="decimal" operator="greaterThanOrEqual" allowBlank="1" showInputMessage="1" showErrorMessage="1" error="Un reste à engager est un nombre positif ou nul." sqref="H16:H415">
      <formula1>0</formula1>
    </dataValidation>
    <dataValidation type="decimal" operator="greaterThanOrEqual" allowBlank="1" showInputMessage="1" showErrorMessage="1" error="Un reste à engager est un nombre positif ou nul." sqref="I16:I415">
      <formula1>0</formula1>
    </dataValidation>
  </dataValidations>
  <pageMargins left="0.7" right="0.7" top="0.75" bottom="0.75" header="0.3" footer="0.3"/>
  <pageSetup fitToHeight="0" orientation="landscape"/>
  <headerFooter>
    <oddFooter>&amp;L&amp;8© 2027 Exemple Industrie — Généré par Waterfall le 2027-02-15 — logiciel libre sous licence AGPL-3.0 — www.waterfall-project.pro&amp;R&amp;8Page &amp;P / &amp;N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38.7109375" customWidth="1"/>
    <col min="2" max="2" width="10.7109375" customWidth="1"/>
    <col min="3" max="3" width="16.7109375" customWidth="1"/>
    <col min="4" max="4" width="14.7109375" customWidth="1"/>
    <col min="5" max="5" width="11.7109375" customWidth="1"/>
    <col min="6" max="6" width="50.7109375" customWidth="1"/>
  </cols>
  <sheetData>
    <row r="1" spans="1:6">
      <c r="A1" s="3" t="s">
        <v>50</v>
      </c>
    </row>
    <row r="4" spans="1:6">
      <c r="A4" t="s">
        <v>2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</row>
    <row r="5" spans="1:6">
      <c r="A5" t="s">
        <v>56</v>
      </c>
      <c r="B5" t="s">
        <v>57</v>
      </c>
      <c r="C5" t="s">
        <v>58</v>
      </c>
      <c r="D5" t="s">
        <v>59</v>
      </c>
      <c r="E5">
        <v>1</v>
      </c>
      <c r="F5" t="s">
        <v>60</v>
      </c>
    </row>
    <row r="6" spans="1:6">
      <c r="A6" t="s">
        <v>61</v>
      </c>
      <c r="B6" t="s">
        <v>62</v>
      </c>
      <c r="C6" t="s">
        <v>58</v>
      </c>
      <c r="D6" t="s">
        <v>59</v>
      </c>
      <c r="E6">
        <v>1</v>
      </c>
      <c r="F6" t="s">
        <v>63</v>
      </c>
    </row>
    <row r="7" spans="1:6">
      <c r="A7" t="s">
        <v>64</v>
      </c>
      <c r="B7" t="s">
        <v>65</v>
      </c>
      <c r="C7" t="s">
        <v>58</v>
      </c>
      <c r="D7" t="s">
        <v>66</v>
      </c>
      <c r="E7">
        <v>1.02</v>
      </c>
      <c r="F7" t="s">
        <v>67</v>
      </c>
    </row>
    <row r="8" spans="1:6">
      <c r="A8" t="s">
        <v>68</v>
      </c>
      <c r="B8" t="s">
        <v>69</v>
      </c>
      <c r="C8" t="s">
        <v>58</v>
      </c>
      <c r="D8" t="s">
        <v>66</v>
      </c>
      <c r="E8">
        <v>1.02</v>
      </c>
      <c r="F8" t="s">
        <v>70</v>
      </c>
    </row>
    <row r="9" spans="1:6">
      <c r="A9" t="s">
        <v>71</v>
      </c>
      <c r="B9" t="s">
        <v>72</v>
      </c>
      <c r="C9" t="s">
        <v>73</v>
      </c>
      <c r="D9" t="s">
        <v>59</v>
      </c>
      <c r="E9">
        <v>1.02</v>
      </c>
      <c r="F9" t="s">
        <v>74</v>
      </c>
    </row>
    <row r="10" spans="1:6">
      <c r="A10" t="s">
        <v>75</v>
      </c>
      <c r="B10" t="s">
        <v>76</v>
      </c>
      <c r="C10" t="s">
        <v>77</v>
      </c>
      <c r="D10" t="s">
        <v>59</v>
      </c>
      <c r="E10">
        <v>1.01</v>
      </c>
      <c r="F10" t="s">
        <v>78</v>
      </c>
    </row>
  </sheetData>
  <sheetProtection sheet="1" objects="1" scenarios="1" sort="0" autoFilter="0"/>
  <pageMargins left="0.7" right="0.7" top="0.75" bottom="0.75" header="0.3" footer="0.3"/>
  <headerFooter>
    <oddFooter>&amp;L&amp;8© 2027 Exemple Industrie — Généré par Waterfall le 2027-02-15 — logiciel libre sous licence AGPL-3.0 — www.waterfall-project.pro&amp;R&amp;8Page &amp;P / &amp;N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34.7109375" customWidth="1"/>
    <col min="2" max="3" width="10.7109375" customWidth="1"/>
    <col min="4" max="4" width="26.7109375" customWidth="1"/>
    <col min="5" max="5" width="24.7109375" customWidth="1"/>
    <col min="6" max="6" width="22.7109375" customWidth="1"/>
    <col min="7" max="7" width="18.7109375" customWidth="1"/>
    <col min="8" max="8" width="14.7109375" customWidth="1"/>
    <col min="9" max="9" width="11.7109375" customWidth="1"/>
  </cols>
  <sheetData>
    <row r="1" spans="1:9">
      <c r="A1" s="3" t="s">
        <v>0</v>
      </c>
    </row>
    <row r="2" spans="1:9">
      <c r="A2" t="s">
        <v>1</v>
      </c>
      <c r="B2">
        <v>8</v>
      </c>
    </row>
    <row r="4" spans="1:9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16</v>
      </c>
      <c r="H5" t="s">
        <v>17</v>
      </c>
      <c r="I5">
        <v>100</v>
      </c>
    </row>
    <row r="6" spans="1:9">
      <c r="A6" t="s">
        <v>18</v>
      </c>
      <c r="B6" t="s">
        <v>12</v>
      </c>
      <c r="C6" t="s">
        <v>19</v>
      </c>
      <c r="D6" t="s">
        <v>20</v>
      </c>
      <c r="E6" t="s">
        <v>15</v>
      </c>
      <c r="F6" t="s">
        <v>16</v>
      </c>
      <c r="G6" t="s">
        <v>16</v>
      </c>
      <c r="H6" t="s">
        <v>21</v>
      </c>
      <c r="I6">
        <v>60</v>
      </c>
    </row>
    <row r="7" spans="1:9">
      <c r="A7" t="s">
        <v>22</v>
      </c>
      <c r="B7" t="s">
        <v>12</v>
      </c>
      <c r="C7" t="s">
        <v>23</v>
      </c>
      <c r="D7" t="s">
        <v>24</v>
      </c>
      <c r="E7" t="s">
        <v>25</v>
      </c>
      <c r="F7" t="s">
        <v>16</v>
      </c>
      <c r="G7" t="s">
        <v>16</v>
      </c>
      <c r="H7" t="s">
        <v>26</v>
      </c>
      <c r="I7">
        <v>80</v>
      </c>
    </row>
    <row r="8" spans="1:9">
      <c r="A8" t="s">
        <v>27</v>
      </c>
      <c r="B8" t="s">
        <v>12</v>
      </c>
      <c r="C8" t="s">
        <v>28</v>
      </c>
      <c r="D8" t="s">
        <v>29</v>
      </c>
      <c r="E8" t="s">
        <v>25</v>
      </c>
      <c r="F8" t="s">
        <v>16</v>
      </c>
      <c r="G8" t="s">
        <v>16</v>
      </c>
      <c r="H8" t="s">
        <v>21</v>
      </c>
      <c r="I8">
        <v>60</v>
      </c>
    </row>
    <row r="9" spans="1:9">
      <c r="A9" t="s">
        <v>30</v>
      </c>
      <c r="B9" t="s">
        <v>12</v>
      </c>
      <c r="C9" t="s">
        <v>31</v>
      </c>
      <c r="D9" t="s">
        <v>32</v>
      </c>
      <c r="E9" t="s">
        <v>33</v>
      </c>
      <c r="F9" t="s">
        <v>16</v>
      </c>
      <c r="G9" t="s">
        <v>16</v>
      </c>
      <c r="H9" t="s">
        <v>26</v>
      </c>
      <c r="I9">
        <v>80</v>
      </c>
    </row>
    <row r="10" spans="1:9">
      <c r="A10" t="s">
        <v>34</v>
      </c>
      <c r="B10" t="s">
        <v>12</v>
      </c>
      <c r="C10" t="s">
        <v>35</v>
      </c>
      <c r="D10" t="s">
        <v>36</v>
      </c>
      <c r="E10" t="s">
        <v>33</v>
      </c>
      <c r="F10" t="s">
        <v>16</v>
      </c>
      <c r="G10" t="s">
        <v>16</v>
      </c>
      <c r="H10" t="s">
        <v>21</v>
      </c>
      <c r="I10">
        <v>60</v>
      </c>
    </row>
    <row r="11" spans="1:9">
      <c r="A11" t="s">
        <v>37</v>
      </c>
      <c r="B11" t="s">
        <v>38</v>
      </c>
      <c r="C11" t="s">
        <v>39</v>
      </c>
      <c r="D11" t="s">
        <v>40</v>
      </c>
      <c r="F11" t="s">
        <v>41</v>
      </c>
      <c r="G11" t="s">
        <v>42</v>
      </c>
      <c r="H11" t="s">
        <v>39</v>
      </c>
    </row>
    <row r="12" spans="1:9">
      <c r="A12" t="s">
        <v>43</v>
      </c>
      <c r="B12" t="s">
        <v>38</v>
      </c>
      <c r="C12" t="s">
        <v>44</v>
      </c>
      <c r="D12" t="s">
        <v>45</v>
      </c>
      <c r="F12" t="s">
        <v>41</v>
      </c>
      <c r="G12" t="s">
        <v>42</v>
      </c>
      <c r="H12" t="s">
        <v>44</v>
      </c>
    </row>
    <row r="13" spans="1:9">
      <c r="A13" t="s">
        <v>46</v>
      </c>
      <c r="B13" t="s">
        <v>38</v>
      </c>
      <c r="C13" t="s">
        <v>47</v>
      </c>
      <c r="D13" t="s">
        <v>48</v>
      </c>
      <c r="F13" t="s">
        <v>49</v>
      </c>
      <c r="G13" t="s">
        <v>42</v>
      </c>
      <c r="H13" t="s">
        <v>47</v>
      </c>
    </row>
  </sheetData>
  <sheetProtection sheet="1" objects="1" scenarios="1" sort="0" autoFilter="0"/>
  <pageMargins left="0.7" right="0.7" top="0.75" bottom="0.75" header="0.3" footer="0.3"/>
  <headerFooter>
    <oddFooter>&amp;L&amp;8© 2027 Exemple Industrie — Généré par Waterfall le 2027-02-15 — logiciel libre sous licence AGPL-3.0 — www.waterfall-project.pro&amp;R&amp;8Page &amp;P /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Synthèse</vt:lpstr>
      <vt:lpstr>SP-PRE</vt:lpstr>
      <vt:lpstr>SP-MAT</vt:lpstr>
      <vt:lpstr>Hors sous-projet</vt:lpstr>
      <vt:lpstr>Tâches</vt:lpstr>
      <vt:lpstr>Paramètres</vt:lpstr>
      <vt:lpstr>HeuresParJour</vt:lpstr>
      <vt:lpstr>Synthèse!Print_Area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Reste à engager — A.ABC.26001</dc:title>
  <dc:creator>Waterfall</dc:creator>
  <cp:lastModifiedBy>Waterfall</cp:lastModifiedBy>
  <dcterms:created xsi:type="dcterms:W3CDTF">2026-10-22T10:32:08Z</dcterms:created>
  <dcterms:modified xsi:type="dcterms:W3CDTF">2026-10-22T10:32:08Z</dcterms:modified>
</cp:coreProperties>
</file>